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Toluwalase Aderemi\Career\Projects\Data analysis projects\nigeria_fuel_food_project\data\raw\diesel\"/>
    </mc:Choice>
  </mc:AlternateContent>
  <xr:revisionPtr revIDLastSave="0" documentId="8_{D9DD7C62-6B36-448B-B06B-637CC1509698}" xr6:coauthVersionLast="47" xr6:coauthVersionMax="47" xr10:uidLastSave="{00000000-0000-0000-0000-000000000000}"/>
  <bookViews>
    <workbookView xWindow="-120" yWindow="-120" windowWidth="20730" windowHeight="11040" xr2:uid="{09B26E24-88C3-4BC2-9098-4DBCC7834E21}"/>
  </bookViews>
  <sheets>
    <sheet name="DIESEL DECEMBER 2024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4" i="1" l="1"/>
  <c r="E44" i="1" s="1"/>
  <c r="C44" i="1"/>
  <c r="B44" i="1"/>
  <c r="D43" i="1"/>
  <c r="F43" i="1" s="1"/>
  <c r="C43" i="1"/>
  <c r="B43" i="1"/>
  <c r="D42" i="1"/>
  <c r="C42" i="1"/>
  <c r="F42" i="1" s="1"/>
  <c r="B42" i="1"/>
  <c r="E42" i="1" s="1"/>
  <c r="D41" i="1"/>
  <c r="C41" i="1"/>
  <c r="F41" i="1" s="1"/>
  <c r="B41" i="1"/>
  <c r="D40" i="1"/>
  <c r="F40" i="1" s="1"/>
  <c r="C40" i="1"/>
  <c r="B40" i="1"/>
  <c r="D39" i="1"/>
  <c r="C39" i="1"/>
  <c r="B39" i="1"/>
  <c r="D37" i="1"/>
  <c r="C37" i="1"/>
  <c r="B37" i="1"/>
  <c r="D36" i="1"/>
  <c r="C36" i="1"/>
  <c r="B36" i="1"/>
  <c r="D35" i="1"/>
  <c r="C35" i="1"/>
  <c r="B35" i="1"/>
  <c r="D34" i="1"/>
  <c r="F34" i="1" s="1"/>
  <c r="C34" i="1"/>
  <c r="B34" i="1"/>
  <c r="D33" i="1"/>
  <c r="C33" i="1"/>
  <c r="B33" i="1"/>
  <c r="D32" i="1"/>
  <c r="C32" i="1"/>
  <c r="B32" i="1"/>
  <c r="D30" i="1"/>
  <c r="F30" i="1" s="1"/>
  <c r="C30" i="1"/>
  <c r="B30" i="1"/>
  <c r="D29" i="1"/>
  <c r="C29" i="1"/>
  <c r="B29" i="1"/>
  <c r="D28" i="1"/>
  <c r="C28" i="1"/>
  <c r="B28" i="1"/>
  <c r="E28" i="1" s="1"/>
  <c r="D27" i="1"/>
  <c r="C27" i="1"/>
  <c r="B27" i="1"/>
  <c r="D26" i="1"/>
  <c r="C26" i="1"/>
  <c r="B26" i="1"/>
  <c r="D24" i="1"/>
  <c r="C24" i="1"/>
  <c r="B24" i="1"/>
  <c r="D23" i="1"/>
  <c r="C23" i="1"/>
  <c r="B23" i="1"/>
  <c r="D22" i="1"/>
  <c r="C22" i="1"/>
  <c r="B22" i="1"/>
  <c r="D21" i="1"/>
  <c r="E21" i="1" s="1"/>
  <c r="C21" i="1"/>
  <c r="B21" i="1"/>
  <c r="D20" i="1"/>
  <c r="C20" i="1"/>
  <c r="B20" i="1"/>
  <c r="D19" i="1"/>
  <c r="C19" i="1"/>
  <c r="B19" i="1"/>
  <c r="D18" i="1"/>
  <c r="C18" i="1"/>
  <c r="B18" i="1"/>
  <c r="E18" i="1" s="1"/>
  <c r="D16" i="1"/>
  <c r="F16" i="1" s="1"/>
  <c r="C16" i="1"/>
  <c r="B16" i="1"/>
  <c r="D15" i="1"/>
  <c r="F15" i="1" s="1"/>
  <c r="C15" i="1"/>
  <c r="B15" i="1"/>
  <c r="D14" i="1"/>
  <c r="C14" i="1"/>
  <c r="B14" i="1"/>
  <c r="D13" i="1"/>
  <c r="C13" i="1"/>
  <c r="B13" i="1"/>
  <c r="D12" i="1"/>
  <c r="C12" i="1"/>
  <c r="B12" i="1"/>
  <c r="D11" i="1"/>
  <c r="E11" i="1" s="1"/>
  <c r="C11" i="1"/>
  <c r="B11" i="1"/>
  <c r="D9" i="1"/>
  <c r="C9" i="1"/>
  <c r="B9" i="1"/>
  <c r="D8" i="1"/>
  <c r="C8" i="1"/>
  <c r="B8" i="1"/>
  <c r="D7" i="1"/>
  <c r="F7" i="1" s="1"/>
  <c r="C7" i="1"/>
  <c r="B7" i="1"/>
  <c r="D6" i="1"/>
  <c r="C6" i="1"/>
  <c r="B6" i="1"/>
  <c r="D5" i="1"/>
  <c r="E5" i="1" s="1"/>
  <c r="C5" i="1"/>
  <c r="B5" i="1"/>
  <c r="D4" i="1"/>
  <c r="C4" i="1"/>
  <c r="B4" i="1"/>
  <c r="D3" i="1"/>
  <c r="D45" i="1" s="1"/>
  <c r="C3" i="1"/>
  <c r="B3" i="1"/>
  <c r="D1" i="1"/>
  <c r="C1" i="1"/>
  <c r="B1" i="1"/>
  <c r="F22" i="1" l="1"/>
  <c r="E32" i="1"/>
  <c r="E34" i="1"/>
  <c r="F36" i="1"/>
  <c r="B38" i="1"/>
  <c r="B10" i="1"/>
  <c r="E14" i="1"/>
  <c r="E23" i="1"/>
  <c r="F37" i="1"/>
  <c r="B17" i="1"/>
  <c r="F29" i="1"/>
  <c r="C38" i="1"/>
  <c r="F8" i="1"/>
  <c r="F19" i="1"/>
  <c r="F32" i="1"/>
  <c r="E37" i="1"/>
  <c r="F44" i="1"/>
  <c r="F6" i="1"/>
  <c r="C17" i="1"/>
  <c r="E22" i="1"/>
  <c r="F9" i="1"/>
  <c r="D17" i="1"/>
  <c r="F20" i="1"/>
  <c r="C25" i="1"/>
  <c r="F28" i="1"/>
  <c r="E30" i="1"/>
  <c r="F33" i="1"/>
  <c r="E41" i="1"/>
  <c r="E3" i="1"/>
  <c r="F14" i="1"/>
  <c r="F24" i="1"/>
  <c r="F35" i="1"/>
  <c r="F4" i="1"/>
  <c r="C31" i="1"/>
  <c r="D38" i="1"/>
  <c r="E38" i="1" s="1"/>
  <c r="C10" i="1"/>
  <c r="E16" i="1"/>
  <c r="F27" i="1"/>
  <c r="E40" i="1"/>
  <c r="F12" i="1"/>
  <c r="B31" i="1"/>
  <c r="B25" i="1"/>
  <c r="E25" i="1" s="1"/>
  <c r="B45" i="1"/>
  <c r="E45" i="1" s="1"/>
  <c r="E13" i="1"/>
  <c r="D25" i="1"/>
  <c r="C45" i="1"/>
  <c r="F45" i="1" s="1"/>
  <c r="F5" i="1"/>
  <c r="E7" i="1"/>
  <c r="F13" i="1"/>
  <c r="F18" i="1"/>
  <c r="E26" i="1"/>
  <c r="E29" i="1"/>
  <c r="I6" i="1"/>
  <c r="F38" i="1"/>
  <c r="I2" i="1"/>
  <c r="F11" i="1"/>
  <c r="F3" i="1"/>
  <c r="F2" i="1" s="1"/>
  <c r="E19" i="1"/>
  <c r="F26" i="1"/>
  <c r="E43" i="1"/>
  <c r="F23" i="1"/>
  <c r="E12" i="1"/>
  <c r="E24" i="1"/>
  <c r="E36" i="1"/>
  <c r="D10" i="1"/>
  <c r="E27" i="1"/>
  <c r="E39" i="1"/>
  <c r="F21" i="1"/>
  <c r="B2" i="1"/>
  <c r="E15" i="1"/>
  <c r="E4" i="1"/>
  <c r="E6" i="1"/>
  <c r="E8" i="1"/>
  <c r="E20" i="1"/>
  <c r="F39" i="1"/>
  <c r="C2" i="1"/>
  <c r="D2" i="1"/>
  <c r="I3" i="1" s="1"/>
  <c r="E35" i="1"/>
  <c r="E9" i="1"/>
  <c r="E33" i="1"/>
  <c r="D31" i="1"/>
  <c r="F17" i="1" l="1"/>
  <c r="F25" i="1"/>
  <c r="I7" i="1"/>
  <c r="E17" i="1"/>
  <c r="E2" i="1"/>
  <c r="I4" i="1"/>
  <c r="F10" i="1"/>
  <c r="E10" i="1"/>
  <c r="I5" i="1"/>
  <c r="F31" i="1"/>
  <c r="E31" i="1"/>
  <c r="L1" i="1" l="1"/>
  <c r="K1" i="1"/>
</calcChain>
</file>

<file path=xl/sharedStrings.xml><?xml version="1.0" encoding="utf-8"?>
<sst xmlns="http://schemas.openxmlformats.org/spreadsheetml/2006/main" count="61" uniqueCount="55">
  <si>
    <t>YoY</t>
  </si>
  <si>
    <t>MoM</t>
  </si>
  <si>
    <t>Zone</t>
  </si>
  <si>
    <t>NORTH CENTRAL</t>
  </si>
  <si>
    <t>South East</t>
  </si>
  <si>
    <t>Abuja</t>
  </si>
  <si>
    <t>North Central</t>
  </si>
  <si>
    <t>Benue</t>
  </si>
  <si>
    <t>North East</t>
  </si>
  <si>
    <t>Kogi</t>
  </si>
  <si>
    <t>South South</t>
  </si>
  <si>
    <t>Kwara</t>
  </si>
  <si>
    <t>South West</t>
  </si>
  <si>
    <t>Nassarawa</t>
  </si>
  <si>
    <t>North West</t>
  </si>
  <si>
    <t>Niger</t>
  </si>
  <si>
    <t>Plateau</t>
  </si>
  <si>
    <t>NORTH EAST</t>
  </si>
  <si>
    <t>STATES WITH THE HIGHEST AVERAGE PRICES</t>
  </si>
  <si>
    <t>Adamawa</t>
  </si>
  <si>
    <t>Bauchi</t>
  </si>
  <si>
    <t>Borno</t>
  </si>
  <si>
    <t>Gombe</t>
  </si>
  <si>
    <t>Taraba</t>
  </si>
  <si>
    <t>STATES WITH THE LOWEST AVERAGE PRICES</t>
  </si>
  <si>
    <t>Yobe</t>
  </si>
  <si>
    <t>Lagos</t>
  </si>
  <si>
    <t>NORTH WEST</t>
  </si>
  <si>
    <t>Ogun</t>
  </si>
  <si>
    <t>Jigawa</t>
  </si>
  <si>
    <t>Ekiti</t>
  </si>
  <si>
    <t>Kaduna</t>
  </si>
  <si>
    <t>Kano</t>
  </si>
  <si>
    <t>Katsina</t>
  </si>
  <si>
    <t>Kebbi</t>
  </si>
  <si>
    <t>Sokoto</t>
  </si>
  <si>
    <t>Zamfara</t>
  </si>
  <si>
    <t>SOUTH EAST</t>
  </si>
  <si>
    <t>Abia</t>
  </si>
  <si>
    <t>Anambra</t>
  </si>
  <si>
    <t>Ebonyi</t>
  </si>
  <si>
    <t>Enugu</t>
  </si>
  <si>
    <t>Imo</t>
  </si>
  <si>
    <t>SOUTH SOUTH</t>
  </si>
  <si>
    <t>Akwa Ibom</t>
  </si>
  <si>
    <t>Bayelsa</t>
  </si>
  <si>
    <t>Cross River</t>
  </si>
  <si>
    <t>Delta</t>
  </si>
  <si>
    <t>Edo</t>
  </si>
  <si>
    <t>Rivers</t>
  </si>
  <si>
    <t>SOUTH WEST</t>
  </si>
  <si>
    <t>Ondo</t>
  </si>
  <si>
    <t>Osun</t>
  </si>
  <si>
    <t>Oyo</t>
  </si>
  <si>
    <t>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</si>
</sst>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name val="Corbel"/>
      <family val="2"/>
    </font>
    <font>
      <b/>
      <sz val="11"/>
      <color indexed="8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0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10">
    <xf numFmtId="0" fontId="0" fillId="0" borderId="0"/>
    <xf numFmtId="0" fontId="1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/>
    <xf numFmtId="0" fontId="3" fillId="0" borderId="0"/>
    <xf numFmtId="0" fontId="3" fillId="0" borderId="0">
      <protection locked="0"/>
    </xf>
    <xf numFmtId="0" fontId="3" fillId="0" borderId="0"/>
    <xf numFmtId="0" fontId="3" fillId="0" borderId="0">
      <protection locked="0"/>
    </xf>
  </cellStyleXfs>
  <cellXfs count="29">
    <xf numFmtId="0" fontId="0" fillId="0" borderId="0" xfId="0"/>
    <xf numFmtId="0" fontId="1" fillId="0" borderId="0" xfId="1">
      <alignment vertical="center"/>
    </xf>
    <xf numFmtId="17" fontId="4" fillId="2" borderId="1" xfId="2" applyNumberFormat="1" applyFont="1" applyFill="1" applyBorder="1" applyAlignment="1" applyProtection="1">
      <alignment horizontal="center"/>
    </xf>
    <xf numFmtId="17" fontId="4" fillId="2" borderId="2" xfId="2" applyNumberFormat="1" applyFont="1" applyFill="1" applyBorder="1" applyAlignment="1" applyProtection="1">
      <alignment horizontal="center"/>
    </xf>
    <xf numFmtId="0" fontId="2" fillId="0" borderId="3" xfId="1" applyFont="1" applyBorder="1" applyAlignment="1">
      <alignment horizontal="center" vertical="center"/>
    </xf>
    <xf numFmtId="0" fontId="2" fillId="0" borderId="0" xfId="1" applyFont="1">
      <alignment vertical="center"/>
    </xf>
    <xf numFmtId="2" fontId="1" fillId="0" borderId="0" xfId="1" applyNumberFormat="1">
      <alignment vertical="center"/>
    </xf>
    <xf numFmtId="0" fontId="2" fillId="3" borderId="0" xfId="1" applyFont="1" applyFill="1">
      <alignment vertical="center"/>
    </xf>
    <xf numFmtId="2" fontId="2" fillId="3" borderId="0" xfId="1" applyNumberFormat="1" applyFont="1" applyFill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4" fillId="0" borderId="4" xfId="2" applyFont="1" applyBorder="1" applyAlignment="1" applyProtection="1">
      <alignment horizontal="left" wrapText="1"/>
    </xf>
    <xf numFmtId="2" fontId="4" fillId="0" borderId="4" xfId="3" applyNumberFormat="1" applyFont="1" applyBorder="1" applyAlignment="1" applyProtection="1">
      <alignment horizontal="right" wrapText="1"/>
    </xf>
    <xf numFmtId="2" fontId="4" fillId="0" borderId="4" xfId="2" applyNumberFormat="1" applyFont="1" applyBorder="1" applyAlignment="1" applyProtection="1">
      <alignment horizontal="right" wrapText="1"/>
    </xf>
    <xf numFmtId="2" fontId="4" fillId="0" borderId="4" xfId="2" applyNumberFormat="1" applyFont="1" applyBorder="1" applyAlignment="1" applyProtection="1">
      <alignment horizontal="left" vertical="top" wrapText="1"/>
    </xf>
    <xf numFmtId="2" fontId="4" fillId="0" borderId="4" xfId="3" applyNumberFormat="1" applyFont="1" applyBorder="1" applyAlignment="1" applyProtection="1">
      <alignment horizontal="center" wrapText="1"/>
    </xf>
    <xf numFmtId="2" fontId="4" fillId="0" borderId="4" xfId="4" applyNumberFormat="1" applyFont="1" applyBorder="1" applyAlignment="1" applyProtection="1">
      <alignment horizontal="center" wrapText="1"/>
    </xf>
    <xf numFmtId="0" fontId="0" fillId="0" borderId="0" xfId="0" applyAlignment="1">
      <alignment vertical="center"/>
    </xf>
    <xf numFmtId="2" fontId="4" fillId="0" borderId="4" xfId="4" applyNumberFormat="1" applyFont="1" applyBorder="1" applyAlignment="1" applyProtection="1">
      <alignment horizontal="right" wrapText="1"/>
    </xf>
    <xf numFmtId="2" fontId="4" fillId="0" borderId="4" xfId="5" applyNumberFormat="1" applyFont="1" applyBorder="1" applyAlignment="1">
      <alignment horizontal="right" wrapText="1"/>
    </xf>
    <xf numFmtId="2" fontId="4" fillId="0" borderId="4" xfId="6" applyNumberFormat="1" applyFont="1" applyBorder="1" applyAlignment="1">
      <alignment horizontal="right" wrapText="1"/>
    </xf>
    <xf numFmtId="0" fontId="2" fillId="3" borderId="0" xfId="1" applyFont="1" applyFill="1" applyAlignment="1"/>
    <xf numFmtId="2" fontId="6" fillId="3" borderId="4" xfId="4" applyNumberFormat="1" applyFont="1" applyFill="1" applyBorder="1" applyAlignment="1" applyProtection="1">
      <alignment horizontal="center" wrapText="1"/>
    </xf>
    <xf numFmtId="0" fontId="6" fillId="0" borderId="0" xfId="2" applyFont="1" applyAlignment="1" applyProtection="1">
      <alignment horizontal="left"/>
    </xf>
    <xf numFmtId="2" fontId="4" fillId="0" borderId="4" xfId="7" applyNumberFormat="1" applyFont="1" applyBorder="1" applyAlignment="1" applyProtection="1">
      <alignment horizontal="right" wrapText="1"/>
    </xf>
    <xf numFmtId="2" fontId="4" fillId="0" borderId="4" xfId="8" applyNumberFormat="1" applyFont="1" applyBorder="1" applyAlignment="1">
      <alignment horizontal="right" wrapText="1"/>
    </xf>
    <xf numFmtId="0" fontId="2" fillId="4" borderId="0" xfId="1" applyFont="1" applyFill="1" applyAlignment="1"/>
    <xf numFmtId="2" fontId="6" fillId="4" borderId="4" xfId="4" applyNumberFormat="1" applyFont="1" applyFill="1" applyBorder="1" applyAlignment="1" applyProtection="1">
      <alignment horizontal="center" wrapText="1"/>
    </xf>
    <xf numFmtId="0" fontId="6" fillId="0" borderId="5" xfId="9" applyFont="1" applyBorder="1" applyAlignment="1" applyProtection="1">
      <alignment horizontal="left" wrapText="1"/>
    </xf>
    <xf numFmtId="2" fontId="7" fillId="0" borderId="0" xfId="0" applyNumberFormat="1" applyFont="1"/>
  </cellXfs>
  <cellStyles count="10">
    <cellStyle name="Normal" xfId="0" builtinId="0"/>
    <cellStyle name="Normal 2" xfId="1" xr:uid="{148C3C11-5C21-4426-8BED-8B9BA474B4B7}"/>
    <cellStyle name="Normal_ENergy" xfId="8" xr:uid="{9DD04B69-724B-480F-9C73-2B6433B5E849}"/>
    <cellStyle name="Normal_Sheet1" xfId="2" xr:uid="{6C8C9F2A-F057-4A7A-9002-4B46C84E9E02}"/>
    <cellStyle name="Normal_Sheet1 2" xfId="9" xr:uid="{893F9B00-0DE3-475A-B8C7-3061EC15AC67}"/>
    <cellStyle name="Normal_Sheet2" xfId="3" xr:uid="{1FC2F996-D2B6-4A78-B526-E4988FDDD71F}"/>
    <cellStyle name="Normal_Sheet2 3" xfId="5" xr:uid="{6624EF1F-D115-4E10-84A0-C8353764AFEE}"/>
    <cellStyle name="Normal_Sheet2_1" xfId="6" xr:uid="{FA9DFB36-2674-4CB9-8E39-37DA67466E57}"/>
    <cellStyle name="Normal_Sheet3" xfId="4" xr:uid="{E96D4ACA-0BE8-4F36-BA74-E7A58310F8D6}"/>
    <cellStyle name="Normal_Sheet7" xfId="7" xr:uid="{7E2D2730-96D7-481A-A8F3-A6E097B16C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../../calis/OneDrive/Documents/inforgraphic/Diesel%20Report/DIESEL%20REPORT.xlsx" TargetMode="External"/><Relationship Id="rId2" Type="http://schemas.openxmlformats.org/officeDocument/2006/relationships/externalLinkPath" Target="file:///C:\Users\calis\OneDrive\Documents\inforgraphic\Diesel%20Report\DIESEL%20REPORT.xlsx" TargetMode="External"/><Relationship Id="rId1" Type="http://schemas.openxmlformats.org/officeDocument/2006/relationships/externalLinkPath" Target="/Users/calis/OneDrive/Documents/inforgraphic/Diesel%20Report/DIESEL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IESEL DECEMBER 2024"/>
      <sheetName val="Calculation"/>
      <sheetName val="Output"/>
    </sheetNames>
    <sheetDataSet>
      <sheetData sheetId="0"/>
      <sheetData sheetId="1">
        <row r="1">
          <cell r="B1">
            <v>45273</v>
          </cell>
          <cell r="C1">
            <v>45610</v>
          </cell>
          <cell r="D1">
            <v>45640</v>
          </cell>
        </row>
        <row r="2">
          <cell r="B2">
            <v>1080</v>
          </cell>
          <cell r="C2">
            <v>1329.1666666666667</v>
          </cell>
          <cell r="D2">
            <v>1350.2</v>
          </cell>
        </row>
        <row r="3">
          <cell r="B3">
            <v>1090</v>
          </cell>
          <cell r="C3">
            <v>1433.9</v>
          </cell>
          <cell r="D3">
            <v>1325</v>
          </cell>
        </row>
        <row r="4">
          <cell r="B4">
            <v>1200</v>
          </cell>
          <cell r="C4">
            <v>1550</v>
          </cell>
          <cell r="D4">
            <v>1500</v>
          </cell>
        </row>
        <row r="5">
          <cell r="B5">
            <v>1088.8888888888889</v>
          </cell>
          <cell r="C5">
            <v>1406.6666666666667</v>
          </cell>
          <cell r="D5">
            <v>1448.5</v>
          </cell>
        </row>
        <row r="6">
          <cell r="B6">
            <v>1136.6666666666699</v>
          </cell>
          <cell r="C6">
            <v>1296.75</v>
          </cell>
          <cell r="D6">
            <v>1310.7300109863281</v>
          </cell>
        </row>
        <row r="7">
          <cell r="B7">
            <v>985</v>
          </cell>
          <cell r="C7">
            <v>2232.0350341796875</v>
          </cell>
          <cell r="D7">
            <v>2300</v>
          </cell>
        </row>
        <row r="8">
          <cell r="B8">
            <v>935</v>
          </cell>
          <cell r="C8">
            <v>1510.3571428571429</v>
          </cell>
          <cell r="D8">
            <v>1608.3333333333333</v>
          </cell>
        </row>
        <row r="9">
          <cell r="B9">
            <v>1180</v>
          </cell>
          <cell r="C9">
            <v>1770.5919921875</v>
          </cell>
          <cell r="D9">
            <v>1780</v>
          </cell>
        </row>
        <row r="10">
          <cell r="B10">
            <v>1110.7692307692307</v>
          </cell>
          <cell r="C10">
            <v>1751.1499837239583</v>
          </cell>
          <cell r="D10">
            <v>1725.4797821044922</v>
          </cell>
        </row>
        <row r="11">
          <cell r="B11">
            <v>1108.75</v>
          </cell>
          <cell r="C11">
            <v>1454.7374877929701</v>
          </cell>
          <cell r="D11">
            <v>1381.598583984375</v>
          </cell>
        </row>
        <row r="12">
          <cell r="B12">
            <v>1021.4285714285714</v>
          </cell>
          <cell r="C12">
            <v>1447.8571428571429</v>
          </cell>
          <cell r="D12">
            <v>1475</v>
          </cell>
        </row>
        <row r="13">
          <cell r="B13">
            <v>1141.6666666666667</v>
          </cell>
          <cell r="C13">
            <v>1288.8333333333333</v>
          </cell>
          <cell r="D13">
            <v>1332.01416015625</v>
          </cell>
        </row>
        <row r="14">
          <cell r="B14">
            <v>1187.5</v>
          </cell>
          <cell r="C14">
            <v>1331.4285714285713</v>
          </cell>
          <cell r="D14">
            <v>1400</v>
          </cell>
        </row>
        <row r="15">
          <cell r="B15">
            <v>992.66666666666663</v>
          </cell>
          <cell r="C15">
            <v>1285.6315789473683</v>
          </cell>
          <cell r="D15">
            <v>1257.8571428571429</v>
          </cell>
        </row>
        <row r="16">
          <cell r="B16">
            <v>1209.375</v>
          </cell>
          <cell r="C16">
            <v>1356.4615384615386</v>
          </cell>
          <cell r="D16">
            <v>1422.5744493272568</v>
          </cell>
        </row>
        <row r="17">
          <cell r="B17">
            <v>1200</v>
          </cell>
          <cell r="C17">
            <v>1519.5535888671875</v>
          </cell>
          <cell r="D17">
            <v>1479.1708007812499</v>
          </cell>
        </row>
        <row r="18">
          <cell r="B18">
            <v>1136.76470588235</v>
          </cell>
          <cell r="C18">
            <v>1323.4449890136718</v>
          </cell>
          <cell r="D18">
            <v>1307.375</v>
          </cell>
        </row>
        <row r="19">
          <cell r="B19">
            <v>1229.090909090909</v>
          </cell>
          <cell r="C19">
            <v>1336.1538461538462</v>
          </cell>
          <cell r="D19">
            <v>1433.3333333333333</v>
          </cell>
        </row>
        <row r="20">
          <cell r="B20">
            <v>1221.4285714285713</v>
          </cell>
          <cell r="C20">
            <v>1330.5555555555557</v>
          </cell>
          <cell r="D20">
            <v>1311.5384615384614</v>
          </cell>
        </row>
        <row r="21">
          <cell r="B21">
            <v>1200</v>
          </cell>
          <cell r="C21">
            <v>1486.6666666666667</v>
          </cell>
          <cell r="D21">
            <v>1405.55555555556</v>
          </cell>
        </row>
        <row r="22">
          <cell r="B22">
            <v>1165.625</v>
          </cell>
          <cell r="C22">
            <v>1433.3333333333333</v>
          </cell>
          <cell r="D22">
            <v>1350</v>
          </cell>
        </row>
        <row r="23">
          <cell r="B23">
            <v>1250</v>
          </cell>
          <cell r="C23">
            <v>1325</v>
          </cell>
          <cell r="D23">
            <v>1340</v>
          </cell>
        </row>
        <row r="24">
          <cell r="B24">
            <v>1011.6666666666666</v>
          </cell>
          <cell r="C24">
            <v>1365.5646514892578</v>
          </cell>
          <cell r="D24">
            <v>1282.5</v>
          </cell>
        </row>
        <row r="25">
          <cell r="B25">
            <v>1153.3333333333333</v>
          </cell>
          <cell r="C25">
            <v>1422.3416544596355</v>
          </cell>
          <cell r="D25">
            <v>1433.3333333333333</v>
          </cell>
        </row>
        <row r="26">
          <cell r="B26">
            <v>1157.8125</v>
          </cell>
          <cell r="C26">
            <v>1262.375</v>
          </cell>
          <cell r="D26">
            <v>1215</v>
          </cell>
        </row>
        <row r="27">
          <cell r="B27">
            <v>1200</v>
          </cell>
          <cell r="C27">
            <v>1466.125</v>
          </cell>
          <cell r="D27">
            <v>1550</v>
          </cell>
        </row>
        <row r="28">
          <cell r="B28">
            <v>1062.5</v>
          </cell>
          <cell r="C28">
            <v>1442.8033621651787</v>
          </cell>
          <cell r="D28">
            <v>1481.25</v>
          </cell>
        </row>
        <row r="29">
          <cell r="B29">
            <v>1118</v>
          </cell>
          <cell r="C29">
            <v>1258.0769230769231</v>
          </cell>
          <cell r="D29">
            <v>1231.6363636363637</v>
          </cell>
        </row>
        <row r="30">
          <cell r="B30">
            <v>1083.3333333333333</v>
          </cell>
          <cell r="C30">
            <v>1386.4285714285713</v>
          </cell>
          <cell r="D30">
            <v>1395.4545454545455</v>
          </cell>
        </row>
        <row r="31">
          <cell r="B31">
            <v>1136.3636363636363</v>
          </cell>
          <cell r="C31">
            <v>1379.1666666666667</v>
          </cell>
          <cell r="D31">
            <v>1363.6363636363637</v>
          </cell>
        </row>
        <row r="32">
          <cell r="B32">
            <v>1102.5</v>
          </cell>
          <cell r="C32">
            <v>1250</v>
          </cell>
          <cell r="D32">
            <v>1348.6666666666667</v>
          </cell>
        </row>
        <row r="33">
          <cell r="B33">
            <v>1068.5714285714287</v>
          </cell>
          <cell r="C33">
            <v>1704.45</v>
          </cell>
          <cell r="D33">
            <v>1650</v>
          </cell>
        </row>
        <row r="34">
          <cell r="B34">
            <v>897.85714285714289</v>
          </cell>
          <cell r="C34">
            <v>1477.5</v>
          </cell>
          <cell r="D34">
            <v>1471.4285714285713</v>
          </cell>
        </row>
        <row r="35">
          <cell r="B35">
            <v>1300</v>
          </cell>
          <cell r="C35">
            <v>1537.5</v>
          </cell>
          <cell r="D35">
            <v>1575</v>
          </cell>
        </row>
        <row r="36">
          <cell r="B36">
            <v>1050</v>
          </cell>
          <cell r="C36">
            <v>1481.3766682942708</v>
          </cell>
          <cell r="D36">
            <v>1537.7836100260417</v>
          </cell>
        </row>
        <row r="37">
          <cell r="B37">
            <v>1250</v>
          </cell>
          <cell r="C37">
            <v>1522.560546875</v>
          </cell>
          <cell r="D37">
            <v>1467.5212925502233</v>
          </cell>
        </row>
        <row r="38">
          <cell r="B38">
            <v>1225</v>
          </cell>
          <cell r="C38">
            <v>1376.25</v>
          </cell>
          <cell r="D38">
            <v>1314.2857142857142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958D9-F5DC-48A6-A327-ACE38433C1D5}">
  <dimension ref="A1:Q47"/>
  <sheetViews>
    <sheetView tabSelected="1" zoomScale="130" zoomScaleNormal="130" workbookViewId="0">
      <selection sqref="A1:XFD1"/>
    </sheetView>
  </sheetViews>
  <sheetFormatPr defaultColWidth="9.140625" defaultRowHeight="15" x14ac:dyDescent="0.25"/>
  <cols>
    <col min="1" max="1" width="15.7109375" style="1" bestFit="1" customWidth="1"/>
    <col min="2" max="2" width="13.140625" style="1" customWidth="1"/>
    <col min="3" max="3" width="9.85546875" style="1" customWidth="1"/>
    <col min="4" max="4" width="9.5703125" style="1" customWidth="1"/>
    <col min="5" max="6" width="9.140625" style="1"/>
    <col min="7" max="7" width="9.140625" style="1" customWidth="1"/>
    <col min="8" max="8" width="17" style="1" customWidth="1"/>
    <col min="9" max="10" width="9.140625" style="1" customWidth="1"/>
    <col min="11" max="11" width="12.140625" style="1" customWidth="1"/>
    <col min="12" max="12" width="11.5703125" style="1" customWidth="1"/>
    <col min="13" max="16384" width="9.140625" style="1"/>
  </cols>
  <sheetData>
    <row r="1" spans="1:17" ht="15" customHeight="1" x14ac:dyDescent="0.25">
      <c r="B1" s="2">
        <f>[1]Calculation!B1</f>
        <v>45273</v>
      </c>
      <c r="C1" s="2">
        <f>[1]Calculation!C1</f>
        <v>45610</v>
      </c>
      <c r="D1" s="3">
        <f>[1]Calculation!D1</f>
        <v>45640</v>
      </c>
      <c r="E1" s="4" t="s">
        <v>0</v>
      </c>
      <c r="F1" s="4" t="s">
        <v>1</v>
      </c>
      <c r="H1" s="5" t="s">
        <v>2</v>
      </c>
      <c r="K1" s="6">
        <f>MAX(I2:I7)</f>
        <v>1668.325914243668</v>
      </c>
      <c r="L1" s="6">
        <f>MIN(I2:I7)</f>
        <v>1302.0418470418474</v>
      </c>
    </row>
    <row r="2" spans="1:17" ht="15" customHeight="1" x14ac:dyDescent="0.25">
      <c r="A2" s="7" t="s">
        <v>3</v>
      </c>
      <c r="B2" s="8">
        <f>AVERAGE(B3:B9)</f>
        <v>1109.4387755102041</v>
      </c>
      <c r="C2" s="8">
        <f>AVERAGE(C3:C9)</f>
        <v>1515.1109514716534</v>
      </c>
      <c r="D2" s="8">
        <f>AVERAGE(D3:D9)</f>
        <v>1500.2976190476188</v>
      </c>
      <c r="E2" s="8">
        <f>AVERAGE(E3:E9)</f>
        <v>35.206535474687307</v>
      </c>
      <c r="F2" s="8">
        <f>AVERAGE(F3:F9)</f>
        <v>-1.0260486717686301</v>
      </c>
      <c r="H2" s="9" t="s">
        <v>4</v>
      </c>
      <c r="I2" s="6">
        <f>D25</f>
        <v>1344.5787240939669</v>
      </c>
      <c r="M2" s="10"/>
      <c r="N2" s="11"/>
      <c r="O2" s="12"/>
      <c r="P2" s="13"/>
      <c r="Q2" s="12"/>
    </row>
    <row r="3" spans="1:17" ht="15" customHeight="1" x14ac:dyDescent="0.25">
      <c r="A3" s="10" t="s">
        <v>5</v>
      </c>
      <c r="B3" s="14">
        <f>[1]Calculation!B3</f>
        <v>1090</v>
      </c>
      <c r="C3" s="14">
        <f>[1]Calculation!C3</f>
        <v>1433.9</v>
      </c>
      <c r="D3" s="14">
        <f>[1]Calculation!D3</f>
        <v>1325</v>
      </c>
      <c r="E3" s="15">
        <f t="shared" ref="E3:E45" si="0">(D3-B3)/B3*100</f>
        <v>21.559633027522938</v>
      </c>
      <c r="F3" s="15">
        <f t="shared" ref="F3:F45" si="1">(D3-C3)/C3*100</f>
        <v>-7.5946718739103209</v>
      </c>
      <c r="H3" s="9" t="s">
        <v>6</v>
      </c>
      <c r="I3" s="6">
        <f>D2</f>
        <v>1500.2976190476188</v>
      </c>
      <c r="K3" s="10"/>
      <c r="L3" s="16"/>
      <c r="M3" s="17"/>
      <c r="N3" s="18"/>
      <c r="O3" s="12"/>
      <c r="P3" s="13"/>
      <c r="Q3" s="12"/>
    </row>
    <row r="4" spans="1:17" ht="15" customHeight="1" x14ac:dyDescent="0.25">
      <c r="A4" s="10" t="s">
        <v>7</v>
      </c>
      <c r="B4" s="14">
        <f>[1]Calculation!B9</f>
        <v>1180</v>
      </c>
      <c r="C4" s="14">
        <f>[1]Calculation!C9</f>
        <v>1770.5919921875</v>
      </c>
      <c r="D4" s="14">
        <f>[1]Calculation!D9</f>
        <v>1780</v>
      </c>
      <c r="E4" s="15">
        <f t="shared" si="0"/>
        <v>50.847457627118644</v>
      </c>
      <c r="F4" s="15">
        <f t="shared" si="1"/>
        <v>0.53134815101455446</v>
      </c>
      <c r="H4" s="9" t="s">
        <v>8</v>
      </c>
      <c r="I4" s="6">
        <f>D10</f>
        <v>1668.325914243668</v>
      </c>
      <c r="K4" s="10"/>
      <c r="L4" s="16"/>
      <c r="M4" s="17"/>
      <c r="N4" s="18"/>
      <c r="O4" s="12"/>
      <c r="P4" s="13"/>
      <c r="Q4" s="12"/>
    </row>
    <row r="5" spans="1:17" ht="15" customHeight="1" x14ac:dyDescent="0.25">
      <c r="A5" s="10" t="s">
        <v>9</v>
      </c>
      <c r="B5" s="14">
        <f>[1]Calculation!B24</f>
        <v>1011.6666666666666</v>
      </c>
      <c r="C5" s="14">
        <f>[1]Calculation!C24</f>
        <v>1365.5646514892578</v>
      </c>
      <c r="D5" s="14">
        <f>[1]Calculation!D24</f>
        <v>1282.5</v>
      </c>
      <c r="E5" s="15">
        <f t="shared" si="0"/>
        <v>26.771004942339378</v>
      </c>
      <c r="F5" s="15">
        <f t="shared" si="1"/>
        <v>-6.0828062148993931</v>
      </c>
      <c r="H5" s="9" t="s">
        <v>10</v>
      </c>
      <c r="I5" s="6">
        <f>D31</f>
        <v>1464.1434147910466</v>
      </c>
      <c r="K5" s="10"/>
      <c r="L5" s="12"/>
      <c r="M5" s="17"/>
      <c r="N5" s="18"/>
      <c r="O5" s="12"/>
      <c r="P5" s="13"/>
      <c r="Q5" s="12"/>
    </row>
    <row r="6" spans="1:17" ht="15" customHeight="1" x14ac:dyDescent="0.25">
      <c r="A6" s="10" t="s">
        <v>11</v>
      </c>
      <c r="B6" s="14">
        <f>[1]Calculation!B25</f>
        <v>1153.3333333333333</v>
      </c>
      <c r="C6" s="14">
        <f>[1]Calculation!C25</f>
        <v>1422.3416544596355</v>
      </c>
      <c r="D6" s="14">
        <f>[1]Calculation!D25</f>
        <v>1433.3333333333333</v>
      </c>
      <c r="E6" s="15">
        <f t="shared" si="0"/>
        <v>24.277456647398846</v>
      </c>
      <c r="F6" s="15">
        <f t="shared" si="1"/>
        <v>0.77278752536243722</v>
      </c>
      <c r="H6" s="9" t="s">
        <v>12</v>
      </c>
      <c r="I6" s="6">
        <f>D38</f>
        <v>1302.0418470418474</v>
      </c>
      <c r="K6" s="10"/>
      <c r="L6" s="12"/>
      <c r="M6" s="17"/>
      <c r="N6" s="18"/>
      <c r="O6" s="12"/>
      <c r="P6" s="13"/>
      <c r="Q6" s="12"/>
    </row>
    <row r="7" spans="1:17" ht="15" customHeight="1" x14ac:dyDescent="0.25">
      <c r="A7" s="10" t="s">
        <v>13</v>
      </c>
      <c r="B7" s="14">
        <f>[1]Calculation!B27</f>
        <v>1200</v>
      </c>
      <c r="C7" s="14">
        <f>[1]Calculation!C27</f>
        <v>1466.125</v>
      </c>
      <c r="D7" s="14">
        <f>[1]Calculation!D27</f>
        <v>1550</v>
      </c>
      <c r="E7" s="15">
        <f t="shared" si="0"/>
        <v>29.166666666666668</v>
      </c>
      <c r="F7" s="15">
        <f t="shared" si="1"/>
        <v>5.7208628186546164</v>
      </c>
      <c r="H7" s="9" t="s">
        <v>14</v>
      </c>
      <c r="I7" s="6">
        <f>D17</f>
        <v>1389.959009244724</v>
      </c>
      <c r="K7" s="10"/>
      <c r="L7" s="16"/>
      <c r="M7" s="17"/>
      <c r="N7" s="18"/>
      <c r="O7" s="12"/>
      <c r="P7" s="13"/>
      <c r="Q7" s="12"/>
    </row>
    <row r="8" spans="1:17" ht="15" customHeight="1" x14ac:dyDescent="0.25">
      <c r="A8" s="10" t="s">
        <v>15</v>
      </c>
      <c r="B8" s="14">
        <f>[1]Calculation!B28</f>
        <v>1062.5</v>
      </c>
      <c r="C8" s="14">
        <f>[1]Calculation!C28</f>
        <v>1442.8033621651787</v>
      </c>
      <c r="D8" s="14">
        <f>[1]Calculation!D28</f>
        <v>1481.25</v>
      </c>
      <c r="E8" s="15">
        <f>(D8-B8)/B8*100</f>
        <v>39.411764705882355</v>
      </c>
      <c r="F8" s="15">
        <f t="shared" si="1"/>
        <v>2.6647177878158965</v>
      </c>
      <c r="G8" s="6"/>
      <c r="K8" s="10"/>
      <c r="L8" s="16"/>
      <c r="M8" s="17"/>
      <c r="N8" s="18"/>
      <c r="O8" s="12"/>
      <c r="P8" s="13"/>
      <c r="Q8" s="12"/>
    </row>
    <row r="9" spans="1:17" ht="15" customHeight="1" x14ac:dyDescent="0.25">
      <c r="A9" s="10" t="s">
        <v>16</v>
      </c>
      <c r="B9" s="14">
        <f>[1]Calculation!B33</f>
        <v>1068.5714285714287</v>
      </c>
      <c r="C9" s="14">
        <f>[1]Calculation!C33</f>
        <v>1704.45</v>
      </c>
      <c r="D9" s="14">
        <f>[1]Calculation!D33</f>
        <v>1650</v>
      </c>
      <c r="E9" s="15">
        <f t="shared" si="0"/>
        <v>54.411764705882334</v>
      </c>
      <c r="F9" s="15">
        <f t="shared" si="1"/>
        <v>-3.1945788964182023</v>
      </c>
      <c r="G9" s="6"/>
      <c r="K9" s="10"/>
      <c r="L9" s="16"/>
      <c r="M9" s="17"/>
      <c r="N9" s="18"/>
      <c r="O9" s="19"/>
      <c r="P9" s="12"/>
    </row>
    <row r="10" spans="1:17" ht="15" customHeight="1" x14ac:dyDescent="0.25">
      <c r="A10" s="20" t="s">
        <v>17</v>
      </c>
      <c r="B10" s="8">
        <f>AVERAGE(B11:B16)</f>
        <v>1132.6282051282051</v>
      </c>
      <c r="C10" s="8">
        <f>AVERAGE(C11:C16)</f>
        <v>1676.1126369900173</v>
      </c>
      <c r="D10" s="8">
        <f>AVERAGE(D11:D16)</f>
        <v>1668.325914243668</v>
      </c>
      <c r="E10" s="21">
        <f t="shared" si="0"/>
        <v>47.296871708649171</v>
      </c>
      <c r="F10" s="21">
        <f t="shared" si="1"/>
        <v>-0.46457037400140699</v>
      </c>
      <c r="H10" s="22" t="s">
        <v>18</v>
      </c>
      <c r="I10" s="16"/>
      <c r="J10" s="16"/>
      <c r="L10" s="10"/>
      <c r="M10" s="23"/>
      <c r="N10" s="12"/>
      <c r="O10" s="19"/>
    </row>
    <row r="11" spans="1:17" ht="15" customHeight="1" x14ac:dyDescent="0.25">
      <c r="A11" s="10" t="s">
        <v>19</v>
      </c>
      <c r="B11" s="14">
        <f>[1]Calculation!B4</f>
        <v>1200</v>
      </c>
      <c r="C11" s="14">
        <f>[1]Calculation!C4</f>
        <v>1550</v>
      </c>
      <c r="D11" s="14">
        <f>[1]Calculation!D4</f>
        <v>1500</v>
      </c>
      <c r="E11" s="15">
        <f t="shared" si="0"/>
        <v>25</v>
      </c>
      <c r="F11" s="15">
        <f t="shared" si="1"/>
        <v>-3.225806451612903</v>
      </c>
      <c r="H11" s="10" t="s">
        <v>20</v>
      </c>
      <c r="I11" s="17">
        <v>2300</v>
      </c>
      <c r="J11" s="10"/>
      <c r="K11" s="10"/>
      <c r="L11" s="11"/>
      <c r="M11" s="12"/>
      <c r="N11" s="13"/>
      <c r="O11" s="12"/>
    </row>
    <row r="12" spans="1:17" ht="15" customHeight="1" x14ac:dyDescent="0.25">
      <c r="A12" s="10" t="s">
        <v>20</v>
      </c>
      <c r="B12" s="14">
        <f>[1]Calculation!B7</f>
        <v>985</v>
      </c>
      <c r="C12" s="14">
        <f>[1]Calculation!C7</f>
        <v>2232.0350341796875</v>
      </c>
      <c r="D12" s="14">
        <f>[1]Calculation!D7</f>
        <v>2300</v>
      </c>
      <c r="E12" s="15">
        <f t="shared" si="0"/>
        <v>133.50253807106597</v>
      </c>
      <c r="F12" s="15">
        <f t="shared" si="1"/>
        <v>3.0449775554392602</v>
      </c>
      <c r="H12" s="10" t="s">
        <v>7</v>
      </c>
      <c r="I12" s="17">
        <v>1780</v>
      </c>
      <c r="J12" s="10"/>
      <c r="K12" s="10"/>
      <c r="L12" s="11"/>
      <c r="M12" s="12"/>
      <c r="N12" s="13"/>
      <c r="O12" s="12"/>
    </row>
    <row r="13" spans="1:17" ht="15" customHeight="1" x14ac:dyDescent="0.25">
      <c r="A13" s="10" t="s">
        <v>21</v>
      </c>
      <c r="B13" s="14">
        <f>[1]Calculation!B10</f>
        <v>1110.7692307692307</v>
      </c>
      <c r="C13" s="14">
        <f>[1]Calculation!C10</f>
        <v>1751.1499837239583</v>
      </c>
      <c r="D13" s="14">
        <f>[1]Calculation!D10</f>
        <v>1725.4797821044922</v>
      </c>
      <c r="E13" s="15">
        <f>(D13-B13)/B13*100</f>
        <v>55.340977613285311</v>
      </c>
      <c r="F13" s="15">
        <f t="shared" si="1"/>
        <v>-1.4659053683612164</v>
      </c>
      <c r="H13" s="10" t="s">
        <v>21</v>
      </c>
      <c r="I13" s="17">
        <v>1725.4797821044922</v>
      </c>
      <c r="J13" s="10"/>
      <c r="K13" s="10"/>
      <c r="L13" s="11"/>
      <c r="M13" s="12"/>
      <c r="N13" s="13"/>
      <c r="O13" s="12"/>
    </row>
    <row r="14" spans="1:17" ht="15" customHeight="1" x14ac:dyDescent="0.25">
      <c r="A14" s="10" t="s">
        <v>22</v>
      </c>
      <c r="B14" s="14">
        <f>[1]Calculation!B17</f>
        <v>1200</v>
      </c>
      <c r="C14" s="14">
        <f>[1]Calculation!C17</f>
        <v>1519.5535888671875</v>
      </c>
      <c r="D14" s="14">
        <f>[1]Calculation!D17</f>
        <v>1479.1708007812499</v>
      </c>
      <c r="E14" s="15">
        <f t="shared" si="0"/>
        <v>23.264233398437494</v>
      </c>
      <c r="F14" s="15">
        <f t="shared" si="1"/>
        <v>-2.6575428719195466</v>
      </c>
      <c r="H14" s="16"/>
      <c r="I14" s="16"/>
      <c r="J14" s="16"/>
      <c r="K14" s="10"/>
      <c r="L14" s="11"/>
      <c r="M14" s="12"/>
      <c r="N14" s="13"/>
      <c r="O14" s="12"/>
    </row>
    <row r="15" spans="1:17" ht="15" customHeight="1" x14ac:dyDescent="0.25">
      <c r="A15" s="10" t="s">
        <v>23</v>
      </c>
      <c r="B15" s="14">
        <f>[1]Calculation!B36</f>
        <v>1050</v>
      </c>
      <c r="C15" s="14">
        <f>[1]Calculation!C36</f>
        <v>1481.3766682942708</v>
      </c>
      <c r="D15" s="14">
        <f>[1]Calculation!D36</f>
        <v>1537.7836100260417</v>
      </c>
      <c r="E15" s="15">
        <f t="shared" si="0"/>
        <v>46.45558190724207</v>
      </c>
      <c r="F15" s="15">
        <f t="shared" si="1"/>
        <v>3.8077379601719183</v>
      </c>
      <c r="H15" s="22" t="s">
        <v>24</v>
      </c>
      <c r="I15" s="16"/>
      <c r="J15" s="16"/>
      <c r="K15" s="10"/>
      <c r="L15" s="11"/>
      <c r="M15" s="12"/>
      <c r="N15" s="13"/>
      <c r="O15" s="12"/>
    </row>
    <row r="16" spans="1:17" ht="15" customHeight="1" x14ac:dyDescent="0.25">
      <c r="A16" s="10" t="s">
        <v>25</v>
      </c>
      <c r="B16" s="14">
        <f>[1]Calculation!B37</f>
        <v>1250</v>
      </c>
      <c r="C16" s="14">
        <f>[1]Calculation!C37</f>
        <v>1522.560546875</v>
      </c>
      <c r="D16" s="14">
        <f>[1]Calculation!D37</f>
        <v>1467.5212925502233</v>
      </c>
      <c r="E16" s="15">
        <f t="shared" si="0"/>
        <v>17.401703404017862</v>
      </c>
      <c r="F16" s="15">
        <f t="shared" si="1"/>
        <v>-3.6149139971965507</v>
      </c>
      <c r="H16" s="10" t="s">
        <v>26</v>
      </c>
      <c r="I16" s="17">
        <v>1215</v>
      </c>
      <c r="J16" s="16"/>
      <c r="K16" s="10"/>
      <c r="L16" s="11"/>
      <c r="M16" s="12"/>
      <c r="N16" s="13"/>
      <c r="O16" s="12"/>
    </row>
    <row r="17" spans="1:14" ht="15" customHeight="1" x14ac:dyDescent="0.25">
      <c r="A17" s="20" t="s">
        <v>27</v>
      </c>
      <c r="B17" s="8">
        <f>AVERAGE(B18:B24)</f>
        <v>1227.3063543599258</v>
      </c>
      <c r="C17" s="8">
        <f>AVERAGE(C18:C24)</f>
        <v>1403.6370573870574</v>
      </c>
      <c r="D17" s="8">
        <f>AVERAGE(D18:D24)</f>
        <v>1389.959009244724</v>
      </c>
      <c r="E17" s="21">
        <f t="shared" si="0"/>
        <v>13.252816161750106</v>
      </c>
      <c r="F17" s="21">
        <f t="shared" si="1"/>
        <v>-0.97447186011145936</v>
      </c>
      <c r="H17" s="10" t="s">
        <v>28</v>
      </c>
      <c r="I17" s="17">
        <v>1231.6363636363637</v>
      </c>
      <c r="J17" s="16"/>
      <c r="L17" s="10"/>
      <c r="M17" s="24"/>
    </row>
    <row r="18" spans="1:14" ht="15" customHeight="1" x14ac:dyDescent="0.25">
      <c r="A18" s="10" t="s">
        <v>29</v>
      </c>
      <c r="B18" s="14">
        <f>[1]Calculation!B19</f>
        <v>1229.090909090909</v>
      </c>
      <c r="C18" s="14">
        <f>[1]Calculation!C19</f>
        <v>1336.1538461538462</v>
      </c>
      <c r="D18" s="14">
        <f>[1]Calculation!D19</f>
        <v>1433.3333333333333</v>
      </c>
      <c r="E18" s="15">
        <f t="shared" si="0"/>
        <v>16.617357001972387</v>
      </c>
      <c r="F18" s="15">
        <f t="shared" si="1"/>
        <v>7.2730761849932755</v>
      </c>
      <c r="H18" s="10" t="s">
        <v>30</v>
      </c>
      <c r="I18" s="17">
        <v>1257.8571428571429</v>
      </c>
      <c r="J18" s="16"/>
      <c r="K18" s="10"/>
      <c r="L18" s="11"/>
      <c r="M18" s="12"/>
      <c r="N18" s="13"/>
    </row>
    <row r="19" spans="1:14" ht="15" customHeight="1" x14ac:dyDescent="0.25">
      <c r="A19" s="10" t="s">
        <v>31</v>
      </c>
      <c r="B19" s="14">
        <f>[1]Calculation!B20</f>
        <v>1221.4285714285713</v>
      </c>
      <c r="C19" s="14">
        <f>[1]Calculation!C20</f>
        <v>1330.5555555555557</v>
      </c>
      <c r="D19" s="14">
        <f>[1]Calculation!D20</f>
        <v>1311.5384615384614</v>
      </c>
      <c r="E19" s="15">
        <f t="shared" si="0"/>
        <v>7.3774179037336935</v>
      </c>
      <c r="F19" s="15">
        <f t="shared" si="1"/>
        <v>-1.4292596756062463</v>
      </c>
      <c r="H19" s="10"/>
      <c r="I19" s="11"/>
      <c r="J19" s="24"/>
      <c r="K19" s="10"/>
      <c r="L19" s="11"/>
      <c r="M19" s="12"/>
      <c r="N19" s="13"/>
    </row>
    <row r="20" spans="1:14" ht="15" customHeight="1" x14ac:dyDescent="0.25">
      <c r="A20" s="10" t="s">
        <v>32</v>
      </c>
      <c r="B20" s="14">
        <f>[1]Calculation!B21</f>
        <v>1200</v>
      </c>
      <c r="C20" s="14">
        <f>[1]Calculation!C21</f>
        <v>1486.6666666666667</v>
      </c>
      <c r="D20" s="14">
        <f>[1]Calculation!D21</f>
        <v>1405.55555555556</v>
      </c>
      <c r="E20" s="15">
        <f t="shared" si="0"/>
        <v>17.129629629629996</v>
      </c>
      <c r="F20" s="15">
        <f t="shared" si="1"/>
        <v>-5.4559043348278085</v>
      </c>
      <c r="H20" s="10"/>
      <c r="I20" s="11"/>
      <c r="J20" s="24"/>
      <c r="K20" s="10"/>
      <c r="L20" s="11"/>
      <c r="M20" s="12"/>
      <c r="N20" s="13"/>
    </row>
    <row r="21" spans="1:14" ht="15" customHeight="1" x14ac:dyDescent="0.25">
      <c r="A21" s="10" t="s">
        <v>33</v>
      </c>
      <c r="B21" s="14">
        <f>[1]Calculation!B22</f>
        <v>1165.625</v>
      </c>
      <c r="C21" s="14">
        <f>[1]Calculation!C22</f>
        <v>1433.3333333333333</v>
      </c>
      <c r="D21" s="14">
        <f>[1]Calculation!D22</f>
        <v>1350</v>
      </c>
      <c r="E21" s="15">
        <f t="shared" si="0"/>
        <v>15.817694369973189</v>
      </c>
      <c r="F21" s="15">
        <f t="shared" si="1"/>
        <v>-5.8139534883720883</v>
      </c>
      <c r="H21" s="10"/>
      <c r="I21" s="11"/>
      <c r="J21" s="24"/>
      <c r="K21" s="10"/>
      <c r="L21" s="11"/>
      <c r="M21" s="12"/>
      <c r="N21" s="13"/>
    </row>
    <row r="22" spans="1:14" ht="15" customHeight="1" x14ac:dyDescent="0.25">
      <c r="A22" s="10" t="s">
        <v>34</v>
      </c>
      <c r="B22" s="14">
        <f>[1]Calculation!B23</f>
        <v>1250</v>
      </c>
      <c r="C22" s="14">
        <f>[1]Calculation!C23</f>
        <v>1325</v>
      </c>
      <c r="D22" s="14">
        <f>[1]Calculation!D23</f>
        <v>1340</v>
      </c>
      <c r="E22" s="15">
        <f t="shared" si="0"/>
        <v>7.1999999999999993</v>
      </c>
      <c r="F22" s="15">
        <f t="shared" si="1"/>
        <v>1.1320754716981132</v>
      </c>
      <c r="H22" s="10"/>
      <c r="I22" s="11"/>
      <c r="J22" s="24"/>
      <c r="K22" s="10"/>
      <c r="L22" s="11"/>
      <c r="M22" s="12"/>
      <c r="N22" s="13"/>
    </row>
    <row r="23" spans="1:14" ht="15" customHeight="1" x14ac:dyDescent="0.25">
      <c r="A23" s="10" t="s">
        <v>35</v>
      </c>
      <c r="B23" s="14">
        <f>[1]Calculation!B35</f>
        <v>1300</v>
      </c>
      <c r="C23" s="14">
        <f>[1]Calculation!C35</f>
        <v>1537.5</v>
      </c>
      <c r="D23" s="14">
        <f>[1]Calculation!D35</f>
        <v>1575</v>
      </c>
      <c r="E23" s="15">
        <f t="shared" si="0"/>
        <v>21.153846153846153</v>
      </c>
      <c r="F23" s="15">
        <f t="shared" si="1"/>
        <v>2.4390243902439024</v>
      </c>
      <c r="H23" s="10"/>
      <c r="I23" s="11"/>
      <c r="J23" s="24"/>
      <c r="K23" s="10"/>
      <c r="L23" s="11"/>
      <c r="M23" s="12"/>
      <c r="N23" s="13"/>
    </row>
    <row r="24" spans="1:14" ht="15" customHeight="1" x14ac:dyDescent="0.25">
      <c r="A24" s="10" t="s">
        <v>36</v>
      </c>
      <c r="B24" s="14">
        <f>[1]Calculation!B38</f>
        <v>1225</v>
      </c>
      <c r="C24" s="14">
        <f>[1]Calculation!C38</f>
        <v>1376.25</v>
      </c>
      <c r="D24" s="14">
        <f>[1]Calculation!D38</f>
        <v>1314.2857142857142</v>
      </c>
      <c r="E24" s="15">
        <f t="shared" si="0"/>
        <v>7.2886297376093241</v>
      </c>
      <c r="F24" s="15">
        <f t="shared" si="1"/>
        <v>-4.5024004152069592</v>
      </c>
      <c r="H24" s="10"/>
      <c r="I24" s="11"/>
      <c r="J24" s="24"/>
      <c r="K24" s="10"/>
      <c r="L24" s="11"/>
      <c r="M24" s="12"/>
      <c r="N24" s="13"/>
    </row>
    <row r="25" spans="1:14" ht="15" customHeight="1" x14ac:dyDescent="0.25">
      <c r="A25" s="20" t="s">
        <v>37</v>
      </c>
      <c r="B25" s="8">
        <f>AVERAGE(B26:B30)</f>
        <v>1140.8946078431375</v>
      </c>
      <c r="C25" s="8">
        <f>AVERAGE(C26:C30)</f>
        <v>1318.9313054950421</v>
      </c>
      <c r="D25" s="8">
        <f>AVERAGE(D26:D30)</f>
        <v>1344.5787240939669</v>
      </c>
      <c r="E25" s="21">
        <f t="shared" si="0"/>
        <v>17.853017697742871</v>
      </c>
      <c r="F25" s="21">
        <f t="shared" si="1"/>
        <v>1.9445606069148833</v>
      </c>
      <c r="H25" s="10"/>
      <c r="I25" s="11"/>
      <c r="J25" s="24"/>
      <c r="K25" s="12"/>
      <c r="L25" s="16"/>
      <c r="M25" s="18"/>
    </row>
    <row r="26" spans="1:14" ht="15" customHeight="1" x14ac:dyDescent="0.25">
      <c r="A26" s="10" t="s">
        <v>38</v>
      </c>
      <c r="B26" s="14">
        <f>[1]Calculation!B2</f>
        <v>1080</v>
      </c>
      <c r="C26" s="14">
        <f>[1]Calculation!C2</f>
        <v>1329.1666666666667</v>
      </c>
      <c r="D26" s="14">
        <f>[1]Calculation!D2</f>
        <v>1350.2</v>
      </c>
      <c r="E26" s="15">
        <f t="shared" si="0"/>
        <v>25.018518518518523</v>
      </c>
      <c r="F26" s="15">
        <f t="shared" si="1"/>
        <v>1.5824451410658285</v>
      </c>
      <c r="H26" s="10"/>
      <c r="I26" s="11"/>
      <c r="J26" s="12"/>
      <c r="K26" s="13"/>
    </row>
    <row r="27" spans="1:14" ht="15" customHeight="1" x14ac:dyDescent="0.25">
      <c r="A27" s="10" t="s">
        <v>39</v>
      </c>
      <c r="B27" s="14">
        <f>[1]Calculation!B6</f>
        <v>1136.6666666666699</v>
      </c>
      <c r="C27" s="14">
        <f>[1]Calculation!C6</f>
        <v>1296.75</v>
      </c>
      <c r="D27" s="14">
        <f>[1]Calculation!D6</f>
        <v>1310.7300109863281</v>
      </c>
      <c r="E27" s="15">
        <f t="shared" si="0"/>
        <v>15.313490702609181</v>
      </c>
      <c r="F27" s="15">
        <f t="shared" si="1"/>
        <v>1.0780806621421342</v>
      </c>
      <c r="H27" s="10"/>
      <c r="I27" s="11"/>
      <c r="J27" s="12"/>
      <c r="K27" s="13"/>
    </row>
    <row r="28" spans="1:14" ht="15" customHeight="1" x14ac:dyDescent="0.25">
      <c r="A28" s="10" t="s">
        <v>40</v>
      </c>
      <c r="B28" s="14">
        <f>[1]Calculation!B13</f>
        <v>1141.6666666666667</v>
      </c>
      <c r="C28" s="14">
        <f>[1]Calculation!C13</f>
        <v>1288.8333333333333</v>
      </c>
      <c r="D28" s="14">
        <f>[1]Calculation!D13</f>
        <v>1332.01416015625</v>
      </c>
      <c r="E28" s="15">
        <f t="shared" si="0"/>
        <v>16.672773152372255</v>
      </c>
      <c r="F28" s="15">
        <f t="shared" si="1"/>
        <v>3.3503809768201274</v>
      </c>
      <c r="H28" s="10"/>
      <c r="I28" s="11"/>
      <c r="J28" s="12"/>
      <c r="K28" s="13"/>
    </row>
    <row r="29" spans="1:14" ht="15" customHeight="1" x14ac:dyDescent="0.25">
      <c r="A29" s="10" t="s">
        <v>41</v>
      </c>
      <c r="B29" s="14">
        <f>[1]Calculation!B16</f>
        <v>1209.375</v>
      </c>
      <c r="C29" s="14">
        <f>[1]Calculation!C16</f>
        <v>1356.4615384615386</v>
      </c>
      <c r="D29" s="14">
        <f>[1]Calculation!D16</f>
        <v>1422.5744493272568</v>
      </c>
      <c r="E29" s="15">
        <f t="shared" si="0"/>
        <v>17.628895034811936</v>
      </c>
      <c r="F29" s="15">
        <f t="shared" si="1"/>
        <v>4.873924471216613</v>
      </c>
      <c r="H29" s="10"/>
      <c r="I29" s="11"/>
      <c r="J29" s="12"/>
      <c r="K29" s="13"/>
    </row>
    <row r="30" spans="1:14" ht="15" customHeight="1" x14ac:dyDescent="0.25">
      <c r="A30" s="10" t="s">
        <v>42</v>
      </c>
      <c r="B30" s="14">
        <f>[1]Calculation!B18</f>
        <v>1136.76470588235</v>
      </c>
      <c r="C30" s="14">
        <f>[1]Calculation!C18</f>
        <v>1323.4449890136718</v>
      </c>
      <c r="D30" s="14">
        <f>[1]Calculation!D18</f>
        <v>1307.375</v>
      </c>
      <c r="E30" s="15">
        <f t="shared" si="0"/>
        <v>15.008408796895514</v>
      </c>
      <c r="F30" s="15">
        <f t="shared" si="1"/>
        <v>-1.2142544002262128</v>
      </c>
      <c r="H30" s="10"/>
      <c r="I30" s="11"/>
      <c r="J30" s="12"/>
      <c r="K30" s="13"/>
    </row>
    <row r="31" spans="1:14" ht="15" customHeight="1" x14ac:dyDescent="0.25">
      <c r="A31" s="20" t="s">
        <v>43</v>
      </c>
      <c r="B31" s="8">
        <f>AVERAGE(B32:B37)</f>
        <v>1039.9041005291006</v>
      </c>
      <c r="C31" s="8">
        <f>AVERAGE(C32:C37)</f>
        <v>1438.0911686004158</v>
      </c>
      <c r="D31" s="8">
        <f>AVERAGE(D32:D37)</f>
        <v>1464.1434147910466</v>
      </c>
      <c r="E31" s="21">
        <f t="shared" si="0"/>
        <v>40.796003597456156</v>
      </c>
      <c r="F31" s="21">
        <f t="shared" si="1"/>
        <v>1.811585159512898</v>
      </c>
    </row>
    <row r="32" spans="1:14" ht="15" customHeight="1" x14ac:dyDescent="0.25">
      <c r="A32" s="10" t="s">
        <v>44</v>
      </c>
      <c r="B32" s="14">
        <f>[1]Calculation!B5</f>
        <v>1088.8888888888889</v>
      </c>
      <c r="C32" s="14">
        <f>[1]Calculation!C5</f>
        <v>1406.6666666666667</v>
      </c>
      <c r="D32" s="14">
        <f>[1]Calculation!D5</f>
        <v>1448.5</v>
      </c>
      <c r="E32" s="15">
        <f t="shared" si="0"/>
        <v>33.025510204081634</v>
      </c>
      <c r="F32" s="15">
        <f t="shared" si="1"/>
        <v>2.9739336492890942</v>
      </c>
      <c r="H32" s="10"/>
      <c r="I32" s="11"/>
      <c r="J32" s="12"/>
      <c r="K32" s="13"/>
    </row>
    <row r="33" spans="1:11" ht="15" customHeight="1" x14ac:dyDescent="0.25">
      <c r="A33" s="10" t="s">
        <v>45</v>
      </c>
      <c r="B33" s="14">
        <f>[1]Calculation!B8</f>
        <v>935</v>
      </c>
      <c r="C33" s="14">
        <f>[1]Calculation!C8</f>
        <v>1510.3571428571429</v>
      </c>
      <c r="D33" s="14">
        <f>[1]Calculation!D8</f>
        <v>1608.3333333333333</v>
      </c>
      <c r="E33" s="15">
        <f t="shared" si="0"/>
        <v>72.014260249554368</v>
      </c>
      <c r="F33" s="15">
        <f t="shared" si="1"/>
        <v>6.4869551509419017</v>
      </c>
      <c r="H33" s="10"/>
      <c r="I33" s="11"/>
      <c r="J33" s="12"/>
      <c r="K33" s="13"/>
    </row>
    <row r="34" spans="1:11" ht="15" customHeight="1" x14ac:dyDescent="0.25">
      <c r="A34" s="10" t="s">
        <v>46</v>
      </c>
      <c r="B34" s="14">
        <f>[1]Calculation!B11</f>
        <v>1108.75</v>
      </c>
      <c r="C34" s="14">
        <f>[1]Calculation!C11</f>
        <v>1454.7374877929701</v>
      </c>
      <c r="D34" s="14">
        <f>[1]Calculation!D11</f>
        <v>1381.598583984375</v>
      </c>
      <c r="E34" s="15">
        <f t="shared" si="0"/>
        <v>24.608665973788046</v>
      </c>
      <c r="F34" s="15">
        <f t="shared" si="1"/>
        <v>-5.0276358739855249</v>
      </c>
      <c r="H34" s="10"/>
      <c r="I34" s="11"/>
      <c r="J34" s="12"/>
      <c r="K34" s="13"/>
    </row>
    <row r="35" spans="1:11" ht="15" customHeight="1" x14ac:dyDescent="0.25">
      <c r="A35" s="10" t="s">
        <v>47</v>
      </c>
      <c r="B35" s="14">
        <f>[1]Calculation!B12</f>
        <v>1021.4285714285714</v>
      </c>
      <c r="C35" s="14">
        <f>[1]Calculation!C12</f>
        <v>1447.8571428571429</v>
      </c>
      <c r="D35" s="14">
        <f>[1]Calculation!D12</f>
        <v>1475</v>
      </c>
      <c r="E35" s="15">
        <f t="shared" si="0"/>
        <v>44.4055944055944</v>
      </c>
      <c r="F35" s="15">
        <f t="shared" si="1"/>
        <v>1.8746916625554986</v>
      </c>
      <c r="H35" s="10"/>
      <c r="I35" s="11"/>
      <c r="J35" s="12"/>
      <c r="K35" s="13"/>
    </row>
    <row r="36" spans="1:11" ht="15" customHeight="1" x14ac:dyDescent="0.25">
      <c r="A36" s="10" t="s">
        <v>48</v>
      </c>
      <c r="B36" s="14">
        <f>[1]Calculation!B14</f>
        <v>1187.5</v>
      </c>
      <c r="C36" s="14">
        <f>[1]Calculation!C14</f>
        <v>1331.4285714285713</v>
      </c>
      <c r="D36" s="14">
        <f>[1]Calculation!D14</f>
        <v>1400</v>
      </c>
      <c r="E36" s="15">
        <f t="shared" si="0"/>
        <v>17.894736842105264</v>
      </c>
      <c r="F36" s="15">
        <f t="shared" si="1"/>
        <v>5.1502145922746854</v>
      </c>
      <c r="H36" s="10"/>
      <c r="I36" s="11"/>
      <c r="J36" s="12"/>
      <c r="K36" s="13"/>
    </row>
    <row r="37" spans="1:11" ht="15" customHeight="1" x14ac:dyDescent="0.25">
      <c r="A37" s="10" t="s">
        <v>49</v>
      </c>
      <c r="B37" s="14">
        <f>[1]Calculation!B34</f>
        <v>897.85714285714289</v>
      </c>
      <c r="C37" s="14">
        <f>[1]Calculation!C34</f>
        <v>1477.5</v>
      </c>
      <c r="D37" s="14">
        <f>[1]Calculation!D34</f>
        <v>1471.4285714285713</v>
      </c>
      <c r="E37" s="15">
        <f t="shared" si="0"/>
        <v>63.882259347653125</v>
      </c>
      <c r="F37" s="15">
        <f t="shared" si="1"/>
        <v>-0.41092579163645815</v>
      </c>
      <c r="H37" s="10"/>
      <c r="I37" s="11"/>
      <c r="J37" s="12"/>
      <c r="K37" s="13"/>
    </row>
    <row r="38" spans="1:11" ht="15" customHeight="1" x14ac:dyDescent="0.25">
      <c r="A38" s="20" t="s">
        <v>50</v>
      </c>
      <c r="B38" s="8">
        <f>AVERAGE(B39:B44)</f>
        <v>1098.4460227272727</v>
      </c>
      <c r="C38" s="8">
        <f>AVERAGE(C39:C44)</f>
        <v>1303.6131233532549</v>
      </c>
      <c r="D38" s="8">
        <f>AVERAGE(D39:D44)</f>
        <v>1302.0418470418474</v>
      </c>
      <c r="E38" s="21">
        <f t="shared" si="0"/>
        <v>18.534895670984135</v>
      </c>
      <c r="F38" s="21">
        <f t="shared" si="1"/>
        <v>-0.1205324097509631</v>
      </c>
    </row>
    <row r="39" spans="1:11" x14ac:dyDescent="0.25">
      <c r="A39" s="10" t="s">
        <v>30</v>
      </c>
      <c r="B39" s="14">
        <f>[1]Calculation!B15</f>
        <v>992.66666666666663</v>
      </c>
      <c r="C39" s="14">
        <f>[1]Calculation!C15</f>
        <v>1285.6315789473683</v>
      </c>
      <c r="D39" s="14">
        <f>[1]Calculation!D15</f>
        <v>1257.8571428571429</v>
      </c>
      <c r="E39" s="15">
        <f t="shared" si="0"/>
        <v>26.714957305957988</v>
      </c>
      <c r="F39" s="15">
        <f t="shared" si="1"/>
        <v>-2.1603728894841088</v>
      </c>
      <c r="H39" s="10"/>
      <c r="I39" s="11"/>
      <c r="J39" s="12"/>
      <c r="K39" s="13"/>
    </row>
    <row r="40" spans="1:11" x14ac:dyDescent="0.25">
      <c r="A40" s="10" t="s">
        <v>26</v>
      </c>
      <c r="B40" s="14">
        <f>[1]Calculation!B26</f>
        <v>1157.8125</v>
      </c>
      <c r="C40" s="14">
        <f>[1]Calculation!C26</f>
        <v>1262.375</v>
      </c>
      <c r="D40" s="14">
        <f>[1]Calculation!D26</f>
        <v>1215</v>
      </c>
      <c r="E40" s="15">
        <f t="shared" si="0"/>
        <v>4.9392712550607287</v>
      </c>
      <c r="F40" s="15">
        <f t="shared" si="1"/>
        <v>-3.7528468165164872</v>
      </c>
      <c r="H40" s="10"/>
      <c r="I40" s="11"/>
      <c r="J40" s="12"/>
      <c r="K40" s="13"/>
    </row>
    <row r="41" spans="1:11" x14ac:dyDescent="0.25">
      <c r="A41" s="10" t="s">
        <v>28</v>
      </c>
      <c r="B41" s="14">
        <f>[1]Calculation!B29</f>
        <v>1118</v>
      </c>
      <c r="C41" s="14">
        <f>[1]Calculation!C29</f>
        <v>1258.0769230769231</v>
      </c>
      <c r="D41" s="14">
        <f>[1]Calculation!D29</f>
        <v>1231.6363636363637</v>
      </c>
      <c r="E41" s="15">
        <f t="shared" si="0"/>
        <v>10.164254350300871</v>
      </c>
      <c r="F41" s="15">
        <f t="shared" si="1"/>
        <v>-2.1016647675161821</v>
      </c>
      <c r="H41" s="10"/>
      <c r="I41" s="11"/>
      <c r="J41" s="12"/>
      <c r="K41" s="13"/>
    </row>
    <row r="42" spans="1:11" x14ac:dyDescent="0.25">
      <c r="A42" s="10" t="s">
        <v>51</v>
      </c>
      <c r="B42" s="14">
        <f>[1]Calculation!B30</f>
        <v>1083.3333333333333</v>
      </c>
      <c r="C42" s="14">
        <f>[1]Calculation!C30</f>
        <v>1386.4285714285713</v>
      </c>
      <c r="D42" s="14">
        <f>[1]Calculation!D30</f>
        <v>1395.4545454545455</v>
      </c>
      <c r="E42" s="15">
        <f t="shared" si="0"/>
        <v>28.811188811188828</v>
      </c>
      <c r="F42" s="15">
        <f t="shared" si="1"/>
        <v>0.65102337127067644</v>
      </c>
      <c r="H42" s="10"/>
      <c r="I42" s="11"/>
      <c r="J42" s="12"/>
      <c r="K42" s="13"/>
    </row>
    <row r="43" spans="1:11" x14ac:dyDescent="0.25">
      <c r="A43" s="10" t="s">
        <v>52</v>
      </c>
      <c r="B43" s="14">
        <f>[1]Calculation!B31</f>
        <v>1136.3636363636363</v>
      </c>
      <c r="C43" s="14">
        <f>[1]Calculation!C31</f>
        <v>1379.1666666666667</v>
      </c>
      <c r="D43" s="14">
        <f>[1]Calculation!D31</f>
        <v>1363.6363636363637</v>
      </c>
      <c r="E43" s="15">
        <f t="shared" si="0"/>
        <v>20.000000000000021</v>
      </c>
      <c r="F43" s="15">
        <f t="shared" si="1"/>
        <v>-1.1260642680582238</v>
      </c>
      <c r="H43" s="10"/>
      <c r="I43" s="11"/>
      <c r="J43" s="12"/>
      <c r="K43" s="13"/>
    </row>
    <row r="44" spans="1:11" x14ac:dyDescent="0.25">
      <c r="A44" s="10" t="s">
        <v>53</v>
      </c>
      <c r="B44" s="14">
        <f>[1]Calculation!B32</f>
        <v>1102.5</v>
      </c>
      <c r="C44" s="14">
        <f>[1]Calculation!C32</f>
        <v>1250</v>
      </c>
      <c r="D44" s="14">
        <f>[1]Calculation!D32</f>
        <v>1348.6666666666667</v>
      </c>
      <c r="E44" s="15">
        <f t="shared" si="0"/>
        <v>22.328042328042336</v>
      </c>
      <c r="F44" s="15">
        <f t="shared" si="1"/>
        <v>7.8933333333333398</v>
      </c>
      <c r="H44" s="10"/>
      <c r="I44" s="11"/>
      <c r="J44" s="12"/>
      <c r="K44" s="13"/>
    </row>
    <row r="45" spans="1:11" x14ac:dyDescent="0.25">
      <c r="A45" s="25" t="s">
        <v>54</v>
      </c>
      <c r="B45" s="26">
        <f>AVERAGE(B3:B9,B11:B16,B18:B24,B26:B30,B32:B37,B39:B44)</f>
        <v>1126.6907815841641</v>
      </c>
      <c r="C45" s="26">
        <f>AVERAGE(C3:C9,C11:C16,C18:C24,C26:C30,C32:C37,C39:C44)</f>
        <v>1446.8322746796844</v>
      </c>
      <c r="D45" s="26">
        <f>AVERAGE(D3:D9,D11:D16,D18:D24,D26:D30,D32:D37,D39:D44)</f>
        <v>1447.6150560804215</v>
      </c>
      <c r="E45" s="26">
        <f t="shared" si="0"/>
        <v>28.483793401151935</v>
      </c>
      <c r="F45" s="26">
        <f t="shared" si="1"/>
        <v>5.4103119928702335E-2</v>
      </c>
      <c r="H45" s="27"/>
      <c r="I45" s="28"/>
      <c r="J45" s="28"/>
    </row>
    <row r="46" spans="1:11" x14ac:dyDescent="0.25">
      <c r="B46" s="6"/>
      <c r="H46" s="27"/>
      <c r="I46" s="28"/>
      <c r="J46" s="28"/>
    </row>
    <row r="47" spans="1:11" x14ac:dyDescent="0.25">
      <c r="H47" s="27"/>
      <c r="I47" s="28"/>
      <c r="J47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DIESEL DECEMBER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CALISTIUS IHEMEBIRI</dc:creator>
  <cp:lastModifiedBy>Toluwalase Aderemi</cp:lastModifiedBy>
  <dcterms:created xsi:type="dcterms:W3CDTF">2025-01-16T02:40:42Z</dcterms:created>
  <dcterms:modified xsi:type="dcterms:W3CDTF">2026-09-15T13:15:58Z</dcterms:modified>
</cp:coreProperties>
</file>