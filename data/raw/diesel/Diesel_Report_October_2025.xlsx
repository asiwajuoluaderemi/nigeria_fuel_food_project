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diesel\"/>
    </mc:Choice>
  </mc:AlternateContent>
  <xr:revisionPtr revIDLastSave="0" documentId="13_ncr:1_{24846ACE-A142-443D-8E66-AE0AEAAFC5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ESEL OCTOBER 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F4" i="2"/>
  <c r="F5" i="2"/>
  <c r="F6" i="2"/>
  <c r="F7" i="2"/>
  <c r="F8" i="2"/>
  <c r="F9" i="2"/>
  <c r="E12" i="2"/>
  <c r="E13" i="2"/>
  <c r="E14" i="2"/>
  <c r="E15" i="2"/>
  <c r="E16" i="2"/>
  <c r="F12" i="2"/>
  <c r="F13" i="2"/>
  <c r="F14" i="2"/>
  <c r="F15" i="2"/>
  <c r="F16" i="2"/>
  <c r="F17" i="2"/>
  <c r="F3" i="2"/>
  <c r="F10" i="2"/>
  <c r="F11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2" i="2"/>
  <c r="E10" i="2"/>
  <c r="E11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2" i="2"/>
</calcChain>
</file>

<file path=xl/sharedStrings.xml><?xml version="1.0" encoding="utf-8"?>
<sst xmlns="http://schemas.openxmlformats.org/spreadsheetml/2006/main" count="61" uniqueCount="55">
  <si>
    <t>Zone</t>
  </si>
  <si>
    <t>South East</t>
  </si>
  <si>
    <t>North Central</t>
  </si>
  <si>
    <t>North East</t>
  </si>
  <si>
    <t>South South</t>
  </si>
  <si>
    <t>South West</t>
  </si>
  <si>
    <t>North West</t>
  </si>
  <si>
    <t>STATES WITH THE HIGHEST AVERAGE PRICES</t>
  </si>
  <si>
    <t>Kogi</t>
  </si>
  <si>
    <t>Sokoto</t>
  </si>
  <si>
    <t>Borno</t>
  </si>
  <si>
    <t>STATES WITH THE LOWEST AVERAGE PRICES</t>
  </si>
  <si>
    <t>Oyo</t>
  </si>
  <si>
    <t>Abia</t>
  </si>
  <si>
    <t>Abuja</t>
  </si>
  <si>
    <t>Adamawa</t>
  </si>
  <si>
    <t>Akwa Ibom</t>
  </si>
  <si>
    <t>Anambra</t>
  </si>
  <si>
    <t>Bauchi</t>
  </si>
  <si>
    <t>Bayelsa</t>
  </si>
  <si>
    <t>Benue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</si>
  <si>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</si>
  <si>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</si>
  <si>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</si>
  <si>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</si>
  <si>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</si>
  <si>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</si>
  <si>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</si>
  <si>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</si>
  <si>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</si>
  <si>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</si>
  <si>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</si>
  <si>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</si>
  <si>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</si>
  <si>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Kwara</t>
  </si>
  <si>
    <t>Lagos</t>
  </si>
  <si>
    <t>Niger</t>
  </si>
  <si>
    <t>Ogun</t>
  </si>
  <si>
    <t>Ondo</t>
  </si>
  <si>
    <t>Osun</t>
  </si>
  <si>
    <t>Plateau</t>
  </si>
  <si>
    <t>Rivers</t>
  </si>
  <si>
    <t>Taraba</t>
  </si>
  <si>
    <t>Yobe</t>
  </si>
  <si>
    <t>Zamfara</t>
  </si>
  <si>
    <t>NATIONAL</t>
  </si>
  <si>
    <t>SOUTH WEST</t>
  </si>
  <si>
    <t>SOUTH SOUTH</t>
  </si>
  <si>
    <t>SOUTH EAST</t>
  </si>
  <si>
    <t>NORTH WEST</t>
  </si>
  <si>
    <t>NORTH EAST</t>
  </si>
  <si>
    <t>Nassarawa</t>
  </si>
  <si>
    <t>NORTH CENTRAL</t>
  </si>
  <si>
    <t>MoM</t>
  </si>
  <si>
    <t>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</si>
</sst>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/>
    <xf numFmtId="0" fontId="1" fillId="0" borderId="0"/>
    <xf numFmtId="0" fontId="6" fillId="0" borderId="0">
      <alignment vertical="center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/>
    <xf numFmtId="0" fontId="6" fillId="0" borderId="0">
      <alignment vertical="center"/>
    </xf>
  </cellStyleXfs>
  <cellXfs count="26">
    <xf numFmtId="0" fontId="0" fillId="0" borderId="0" xfId="0"/>
    <xf numFmtId="0" fontId="6" fillId="0" borderId="0" xfId="2">
      <alignment vertical="center"/>
    </xf>
    <xf numFmtId="2" fontId="7" fillId="0" borderId="0" xfId="0" applyNumberFormat="1" applyFont="1"/>
    <xf numFmtId="0" fontId="5" fillId="0" borderId="3" xfId="3" applyFont="1" applyBorder="1" applyAlignment="1" applyProtection="1">
      <alignment horizontal="left" wrapText="1"/>
    </xf>
    <xf numFmtId="2" fontId="6" fillId="0" borderId="0" xfId="2" applyNumberFormat="1">
      <alignment vertical="center"/>
    </xf>
    <xf numFmtId="2" fontId="5" fillId="2" borderId="2" xfId="4" applyNumberFormat="1" applyFont="1" applyFill="1" applyBorder="1" applyAlignment="1" applyProtection="1">
      <alignment horizontal="center" wrapText="1"/>
    </xf>
    <xf numFmtId="0" fontId="8" fillId="2" borderId="0" xfId="2" applyFont="1" applyFill="1" applyAlignment="1"/>
    <xf numFmtId="2" fontId="3" fillId="0" borderId="2" xfId="3" applyNumberFormat="1" applyFont="1" applyBorder="1" applyAlignment="1" applyProtection="1">
      <alignment horizontal="left" vertical="top" wrapText="1"/>
    </xf>
    <xf numFmtId="2" fontId="3" fillId="0" borderId="2" xfId="3" applyNumberFormat="1" applyFont="1" applyBorder="1" applyAlignment="1" applyProtection="1">
      <alignment horizontal="right" wrapText="1"/>
    </xf>
    <xf numFmtId="2" fontId="3" fillId="0" borderId="2" xfId="5" applyNumberFormat="1" applyFont="1" applyBorder="1" applyAlignment="1" applyProtection="1">
      <alignment horizontal="right" wrapText="1"/>
    </xf>
    <xf numFmtId="0" fontId="3" fillId="0" borderId="2" xfId="3" applyFont="1" applyBorder="1" applyAlignment="1" applyProtection="1">
      <alignment horizontal="left" wrapText="1"/>
    </xf>
    <xf numFmtId="2" fontId="3" fillId="0" borderId="2" xfId="5" applyNumberFormat="1" applyFont="1" applyBorder="1" applyAlignment="1" applyProtection="1">
      <alignment horizontal="center" wrapText="1"/>
    </xf>
    <xf numFmtId="2" fontId="8" fillId="3" borderId="0" xfId="2" applyNumberFormat="1" applyFont="1" applyFill="1" applyAlignment="1">
      <alignment horizontal="center" vertical="center"/>
    </xf>
    <xf numFmtId="0" fontId="8" fillId="3" borderId="0" xfId="2" applyFont="1" applyFill="1" applyAlignment="1"/>
    <xf numFmtId="0" fontId="0" fillId="0" borderId="0" xfId="0" applyAlignment="1">
      <alignment vertical="center"/>
    </xf>
    <xf numFmtId="2" fontId="3" fillId="0" borderId="2" xfId="6" applyNumberFormat="1" applyFont="1" applyBorder="1" applyAlignment="1">
      <alignment horizontal="right" wrapText="1"/>
    </xf>
    <xf numFmtId="0" fontId="5" fillId="0" borderId="0" xfId="3" applyFont="1" applyAlignment="1" applyProtection="1">
      <alignment horizontal="left"/>
    </xf>
    <xf numFmtId="0" fontId="6" fillId="0" borderId="0" xfId="7">
      <alignment vertical="center"/>
    </xf>
    <xf numFmtId="2" fontId="3" fillId="0" borderId="2" xfId="4" applyNumberFormat="1" applyFont="1" applyBorder="1" applyAlignment="1" applyProtection="1">
      <alignment horizontal="right" wrapText="1"/>
    </xf>
    <xf numFmtId="0" fontId="4" fillId="0" borderId="0" xfId="2" applyFont="1" applyAlignment="1">
      <alignment horizontal="left" vertical="center"/>
    </xf>
    <xf numFmtId="0" fontId="8" fillId="3" borderId="0" xfId="2" applyFont="1" applyFill="1">
      <alignment vertical="center"/>
    </xf>
    <xf numFmtId="0" fontId="8" fillId="0" borderId="0" xfId="2" applyFont="1">
      <alignment vertical="center"/>
    </xf>
    <xf numFmtId="0" fontId="8" fillId="0" borderId="1" xfId="2" applyFont="1" applyBorder="1" applyAlignment="1">
      <alignment horizontal="center" vertical="center"/>
    </xf>
    <xf numFmtId="17" fontId="3" fillId="4" borderId="4" xfId="3" applyNumberFormat="1" applyFont="1" applyFill="1" applyBorder="1" applyAlignment="1" applyProtection="1">
      <alignment horizontal="center"/>
    </xf>
    <xf numFmtId="17" fontId="3" fillId="4" borderId="5" xfId="3" applyNumberFormat="1" applyFont="1" applyFill="1" applyBorder="1" applyAlignment="1" applyProtection="1">
      <alignment horizontal="center"/>
    </xf>
    <xf numFmtId="2" fontId="6" fillId="3" borderId="0" xfId="2" applyNumberFormat="1" applyFill="1" applyAlignment="1">
      <alignment horizontal="center" vertical="center"/>
    </xf>
  </cellXfs>
  <cellStyles count="8">
    <cellStyle name="Normal" xfId="0" builtinId="0"/>
    <cellStyle name="Normal 2" xfId="2" xr:uid="{00000000-0005-0000-0000-000001000000}"/>
    <cellStyle name="Normal 3" xfId="1" xr:uid="{00000000-0005-0000-0000-000002000000}"/>
    <cellStyle name="Normal 3 2" xfId="7" xr:uid="{00000000-0005-0000-0000-000003000000}"/>
    <cellStyle name="Normal_ENergy" xfId="6" xr:uid="{00000000-0005-0000-0000-000004000000}"/>
    <cellStyle name="Normal_Sheet1 2" xfId="3" xr:uid="{00000000-0005-0000-0000-000005000000}"/>
    <cellStyle name="Normal_Sheet2" xfId="5" xr:uid="{00000000-0005-0000-0000-000006000000}"/>
    <cellStyle name="Normal_Sheet3 2" xfId="4" xr:uid="{00000000-0005-0000-0000-000007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topLeftCell="B1" zoomScale="130" zoomScaleNormal="130" workbookViewId="0">
      <selection activeCell="B15" sqref="A1:XFD15"/>
    </sheetView>
  </sheetViews>
  <sheetFormatPr defaultColWidth="9.140625" defaultRowHeight="15" x14ac:dyDescent="0.25"/>
  <cols>
    <col min="1" max="1" width="15.7109375" style="1" bestFit="1" customWidth="1"/>
    <col min="2" max="2" width="13.140625" style="1" customWidth="1"/>
    <col min="3" max="3" width="9.85546875" style="1" customWidth="1"/>
    <col min="4" max="4" width="9.5703125" style="1" customWidth="1"/>
    <col min="5" max="7" width="9.140625" style="1" customWidth="1"/>
    <col min="8" max="8" width="17" style="1" customWidth="1"/>
    <col min="9" max="10" width="9.140625" style="1" customWidth="1"/>
    <col min="11" max="11" width="12.140625" style="1" customWidth="1"/>
    <col min="12" max="12" width="11.5703125" style="1" customWidth="1"/>
    <col min="13" max="16384" width="9.140625" style="1"/>
  </cols>
  <sheetData>
    <row r="1" spans="1:17" ht="15" customHeight="1" x14ac:dyDescent="0.25">
      <c r="B1" s="24">
        <v>45579</v>
      </c>
      <c r="C1" s="24">
        <v>45914</v>
      </c>
      <c r="D1" s="23">
        <v>45944</v>
      </c>
      <c r="E1" s="22" t="s">
        <v>54</v>
      </c>
      <c r="F1" s="22" t="s">
        <v>53</v>
      </c>
      <c r="H1" s="21" t="s">
        <v>0</v>
      </c>
      <c r="K1" s="4"/>
      <c r="L1" s="4"/>
    </row>
    <row r="2" spans="1:17" ht="15" customHeight="1" x14ac:dyDescent="0.25">
      <c r="A2" s="20" t="s">
        <v>52</v>
      </c>
      <c r="B2" s="12">
        <v>1501.1669260868409</v>
      </c>
      <c r="C2" s="12">
        <v>1297.6196512775846</v>
      </c>
      <c r="D2" s="12">
        <v>1395.7682088988661</v>
      </c>
      <c r="E2" s="12">
        <f>(D2-B2)/B2*100</f>
        <v>-7.0211190612040992</v>
      </c>
      <c r="F2" s="12">
        <f>(D2-C2)/C2*100</f>
        <v>7.5637385365309733</v>
      </c>
      <c r="H2" s="19" t="s">
        <v>1</v>
      </c>
      <c r="I2" s="4">
        <v>1415.8474857428571</v>
      </c>
      <c r="Q2" s="8"/>
    </row>
    <row r="3" spans="1:17" ht="15" customHeight="1" x14ac:dyDescent="0.25">
      <c r="A3" s="10" t="s">
        <v>14</v>
      </c>
      <c r="B3" s="11">
        <v>1421.1</v>
      </c>
      <c r="C3" s="11">
        <v>1283.8180833333299</v>
      </c>
      <c r="D3" s="11">
        <v>1370.1833333333334</v>
      </c>
      <c r="E3" s="25">
        <f>(D3-B3)/B3*100</f>
        <v>-3.5829052611826415</v>
      </c>
      <c r="F3" s="25">
        <f t="shared" ref="F3:F45" si="0">(D3-C3)/C3*100</f>
        <v>6.7272186862926162</v>
      </c>
      <c r="H3" s="19" t="s">
        <v>2</v>
      </c>
      <c r="I3" s="4">
        <v>1395.7682088988661</v>
      </c>
      <c r="K3" s="10"/>
      <c r="L3" s="14"/>
      <c r="Q3" s="8"/>
    </row>
    <row r="4" spans="1:17" ht="15" customHeight="1" x14ac:dyDescent="0.25">
      <c r="A4" s="10" t="s">
        <v>20</v>
      </c>
      <c r="B4" s="11">
        <v>1792</v>
      </c>
      <c r="C4" s="11">
        <v>1227.8571428571429</v>
      </c>
      <c r="D4" s="11">
        <v>1357.7942857142857</v>
      </c>
      <c r="E4" s="25">
        <f t="shared" ref="E4:E45" si="1">(D4-B4)/B4*100</f>
        <v>-24.230229591836736</v>
      </c>
      <c r="F4" s="25">
        <f t="shared" si="0"/>
        <v>10.582431646305988</v>
      </c>
      <c r="H4" s="19" t="s">
        <v>3</v>
      </c>
      <c r="I4" s="4">
        <v>1399.9695357142857</v>
      </c>
      <c r="K4" s="10"/>
      <c r="L4" s="14"/>
      <c r="Q4" s="8"/>
    </row>
    <row r="5" spans="1:17" ht="15" customHeight="1" x14ac:dyDescent="0.25">
      <c r="A5" s="10" t="s">
        <v>8</v>
      </c>
      <c r="B5" s="11">
        <v>1314.9903971354167</v>
      </c>
      <c r="C5" s="11">
        <v>1177.5345</v>
      </c>
      <c r="D5" s="11">
        <v>1435.22</v>
      </c>
      <c r="E5" s="25">
        <f t="shared" si="1"/>
        <v>9.1430023463663446</v>
      </c>
      <c r="F5" s="25">
        <f t="shared" si="0"/>
        <v>21.883477724007243</v>
      </c>
      <c r="H5" s="19" t="s">
        <v>4</v>
      </c>
      <c r="I5" s="4">
        <v>1387.1797539604379</v>
      </c>
      <c r="K5" s="10"/>
      <c r="L5" s="8"/>
      <c r="Q5" s="8"/>
    </row>
    <row r="6" spans="1:17" ht="15" customHeight="1" x14ac:dyDescent="0.25">
      <c r="A6" s="10" t="s">
        <v>34</v>
      </c>
      <c r="B6" s="11">
        <v>1444.1666666666667</v>
      </c>
      <c r="C6" s="11">
        <v>1175.3381666666667</v>
      </c>
      <c r="D6" s="11">
        <v>1396.9044444444444</v>
      </c>
      <c r="E6" s="25">
        <f t="shared" si="1"/>
        <v>-3.2726293517984324</v>
      </c>
      <c r="F6" s="25">
        <f t="shared" si="0"/>
        <v>18.851279066870916</v>
      </c>
      <c r="H6" s="19" t="s">
        <v>5</v>
      </c>
      <c r="I6" s="4">
        <v>1409.017644652381</v>
      </c>
      <c r="K6" s="10"/>
      <c r="L6" s="8"/>
      <c r="Q6" s="8"/>
    </row>
    <row r="7" spans="1:17" ht="15" customHeight="1" x14ac:dyDescent="0.25">
      <c r="A7" s="10" t="s">
        <v>51</v>
      </c>
      <c r="B7" s="11">
        <v>1425.8</v>
      </c>
      <c r="C7" s="11">
        <v>1519.6776422764233</v>
      </c>
      <c r="D7" s="11">
        <v>1321.863875</v>
      </c>
      <c r="E7" s="25">
        <f t="shared" si="1"/>
        <v>-7.289670711179685</v>
      </c>
      <c r="F7" s="25">
        <f t="shared" si="0"/>
        <v>-13.016824211489039</v>
      </c>
      <c r="H7" s="19" t="s">
        <v>6</v>
      </c>
      <c r="I7" s="4">
        <v>1388.6652022472529</v>
      </c>
      <c r="K7" s="10"/>
      <c r="L7" s="14"/>
      <c r="Q7" s="8"/>
    </row>
    <row r="8" spans="1:17" ht="15" customHeight="1" x14ac:dyDescent="0.25">
      <c r="A8" s="10" t="s">
        <v>36</v>
      </c>
      <c r="B8" s="11">
        <v>1366.539990234375</v>
      </c>
      <c r="C8" s="11">
        <v>1386.5595238095295</v>
      </c>
      <c r="D8" s="11">
        <v>1465.6915238000001</v>
      </c>
      <c r="E8" s="25">
        <f t="shared" si="1"/>
        <v>7.2556627888086718</v>
      </c>
      <c r="F8" s="25">
        <f t="shared" si="0"/>
        <v>5.7070755803586328</v>
      </c>
      <c r="G8" s="4"/>
      <c r="K8" s="10"/>
      <c r="L8" s="14"/>
      <c r="Q8" s="8"/>
    </row>
    <row r="9" spans="1:17" ht="15" customHeight="1" x14ac:dyDescent="0.25">
      <c r="A9" s="10" t="s">
        <v>40</v>
      </c>
      <c r="B9" s="11">
        <v>1743.5714285714287</v>
      </c>
      <c r="C9" s="11">
        <v>1312.5525</v>
      </c>
      <c r="D9" s="11">
        <v>1422.72</v>
      </c>
      <c r="E9" s="25">
        <f t="shared" si="1"/>
        <v>-18.401966407210164</v>
      </c>
      <c r="F9" s="25">
        <f t="shared" si="0"/>
        <v>8.3933785505722636</v>
      </c>
      <c r="G9" s="4"/>
      <c r="K9" s="10"/>
      <c r="L9" s="14"/>
    </row>
    <row r="10" spans="1:17" ht="15" customHeight="1" x14ac:dyDescent="0.25">
      <c r="A10" s="13" t="s">
        <v>50</v>
      </c>
      <c r="B10" s="12">
        <v>1650.6197344744644</v>
      </c>
      <c r="C10" s="12">
        <v>1390.2110507650832</v>
      </c>
      <c r="D10" s="12">
        <v>1399.9695357142857</v>
      </c>
      <c r="E10" s="12">
        <f t="shared" si="1"/>
        <v>-15.185217620094818</v>
      </c>
      <c r="F10" s="12">
        <f t="shared" si="0"/>
        <v>0.70194269739346882</v>
      </c>
      <c r="H10" s="16" t="s">
        <v>7</v>
      </c>
      <c r="I10"/>
      <c r="J10" s="14"/>
      <c r="L10" s="10"/>
    </row>
    <row r="11" spans="1:17" ht="15" customHeight="1" x14ac:dyDescent="0.25">
      <c r="A11" s="10" t="s">
        <v>15</v>
      </c>
      <c r="B11" s="11">
        <v>1552.5</v>
      </c>
      <c r="C11" s="11">
        <v>1517.93106929638</v>
      </c>
      <c r="D11" s="11">
        <v>1402.775714285714</v>
      </c>
      <c r="E11" s="25">
        <f t="shared" si="1"/>
        <v>-9.6440763745111742</v>
      </c>
      <c r="F11" s="25">
        <f t="shared" si="0"/>
        <v>-7.5863362533349399</v>
      </c>
      <c r="H11" s="10" t="s">
        <v>26</v>
      </c>
      <c r="I11" s="8">
        <v>1468.2900000000002</v>
      </c>
      <c r="J11" s="10"/>
    </row>
    <row r="12" spans="1:17" ht="15" customHeight="1" x14ac:dyDescent="0.25">
      <c r="A12" s="10" t="s">
        <v>18</v>
      </c>
      <c r="B12" s="11">
        <v>2031</v>
      </c>
      <c r="C12" s="11">
        <v>1277.355</v>
      </c>
      <c r="D12" s="11">
        <v>1386.2275000000002</v>
      </c>
      <c r="E12" s="25">
        <f t="shared" si="1"/>
        <v>-31.746553421959618</v>
      </c>
      <c r="F12" s="25">
        <f t="shared" si="0"/>
        <v>8.5232766145668322</v>
      </c>
      <c r="H12" s="10" t="s">
        <v>36</v>
      </c>
      <c r="I12" s="8">
        <v>1465.6915238000001</v>
      </c>
      <c r="J12" s="10"/>
      <c r="L12" s="10"/>
      <c r="M12" s="18"/>
    </row>
    <row r="13" spans="1:17" ht="15" customHeight="1" x14ac:dyDescent="0.25">
      <c r="A13" s="10" t="s">
        <v>10</v>
      </c>
      <c r="B13" s="11">
        <v>1743</v>
      </c>
      <c r="C13" s="11">
        <v>1500</v>
      </c>
      <c r="D13" s="11">
        <v>1435.22</v>
      </c>
      <c r="E13" s="25">
        <f t="shared" si="1"/>
        <v>-17.658060814687317</v>
      </c>
      <c r="F13" s="25">
        <f t="shared" si="0"/>
        <v>-4.3186666666666653</v>
      </c>
      <c r="H13" s="10" t="s">
        <v>29</v>
      </c>
      <c r="I13" s="8">
        <v>1437.4020833333332</v>
      </c>
      <c r="J13" s="10"/>
      <c r="L13" s="10"/>
      <c r="M13" s="18"/>
    </row>
    <row r="14" spans="1:17" ht="15" customHeight="1" x14ac:dyDescent="0.25">
      <c r="A14" s="10" t="s">
        <v>27</v>
      </c>
      <c r="B14" s="11">
        <v>1566.550048828125</v>
      </c>
      <c r="C14" s="11">
        <v>1332.134</v>
      </c>
      <c r="D14" s="11">
        <v>1382.1980000000001</v>
      </c>
      <c r="E14" s="25">
        <f t="shared" si="1"/>
        <v>-11.768028028598989</v>
      </c>
      <c r="F14" s="25">
        <f t="shared" si="0"/>
        <v>3.7581804833447743</v>
      </c>
      <c r="H14" s="17"/>
      <c r="I14" s="17"/>
      <c r="J14" s="14"/>
      <c r="K14" s="10"/>
    </row>
    <row r="15" spans="1:17" ht="15" customHeight="1" x14ac:dyDescent="0.25">
      <c r="A15" s="10" t="s">
        <v>42</v>
      </c>
      <c r="B15" s="11">
        <v>1438.8349975585938</v>
      </c>
      <c r="C15" s="11">
        <v>1348.1979999999999</v>
      </c>
      <c r="D15" s="11">
        <v>1368.1760000000002</v>
      </c>
      <c r="E15" s="25">
        <f t="shared" si="1"/>
        <v>-4.9108478511078353</v>
      </c>
      <c r="F15" s="25">
        <f t="shared" si="0"/>
        <v>1.4818298202489764</v>
      </c>
      <c r="H15" s="16" t="s">
        <v>11</v>
      </c>
      <c r="I15"/>
      <c r="J15" s="14"/>
      <c r="K15" s="10"/>
    </row>
    <row r="16" spans="1:17" ht="15" customHeight="1" x14ac:dyDescent="0.25">
      <c r="A16" s="10" t="s">
        <v>43</v>
      </c>
      <c r="B16" s="11">
        <v>1571.8333604600693</v>
      </c>
      <c r="C16" s="11">
        <v>1365.6482352941177</v>
      </c>
      <c r="D16" s="11">
        <v>1425.22</v>
      </c>
      <c r="E16" s="25">
        <f t="shared" si="1"/>
        <v>-9.3275384113972599</v>
      </c>
      <c r="F16" s="25">
        <f t="shared" si="0"/>
        <v>4.3621602669191306</v>
      </c>
      <c r="H16" s="10" t="s">
        <v>32</v>
      </c>
      <c r="I16" s="8">
        <v>1301.2388733333335</v>
      </c>
      <c r="J16" s="14"/>
    </row>
    <row r="17" spans="1:12" ht="15" customHeight="1" x14ac:dyDescent="0.25">
      <c r="A17" s="13" t="s">
        <v>49</v>
      </c>
      <c r="B17" s="12">
        <v>1367.1678004535147</v>
      </c>
      <c r="C17" s="12">
        <v>1254.3474032312922</v>
      </c>
      <c r="D17" s="12">
        <v>1388.6652022472529</v>
      </c>
      <c r="E17" s="12">
        <f t="shared" si="1"/>
        <v>1.5724040448149144</v>
      </c>
      <c r="F17" s="12">
        <f t="shared" si="0"/>
        <v>10.70818169431754</v>
      </c>
      <c r="H17" s="10" t="s">
        <v>24</v>
      </c>
      <c r="I17" s="8">
        <v>1307.835</v>
      </c>
      <c r="J17" s="14"/>
    </row>
    <row r="18" spans="1:12" ht="15" customHeight="1" x14ac:dyDescent="0.25">
      <c r="A18" s="10" t="s">
        <v>29</v>
      </c>
      <c r="B18" s="11">
        <v>1293.3888888888889</v>
      </c>
      <c r="C18" s="11">
        <v>1177.8563750000001</v>
      </c>
      <c r="D18" s="11">
        <v>1437.4020833333332</v>
      </c>
      <c r="E18" s="25">
        <f t="shared" si="1"/>
        <v>11.134562518792134</v>
      </c>
      <c r="F18" s="25">
        <f t="shared" si="0"/>
        <v>22.035429263040079</v>
      </c>
      <c r="H18" s="10" t="s">
        <v>33</v>
      </c>
      <c r="I18" s="8">
        <v>1308.9432315000001</v>
      </c>
      <c r="J18" s="14"/>
    </row>
    <row r="19" spans="1:12" ht="15" customHeight="1" x14ac:dyDescent="0.25">
      <c r="A19" s="10" t="s">
        <v>30</v>
      </c>
      <c r="B19" s="11">
        <v>1244.5</v>
      </c>
      <c r="C19" s="11">
        <v>1294.6866666666667</v>
      </c>
      <c r="D19" s="11">
        <v>1418.5533333333333</v>
      </c>
      <c r="E19" s="25">
        <f t="shared" si="1"/>
        <v>13.985804205169408</v>
      </c>
      <c r="F19" s="25">
        <f t="shared" si="0"/>
        <v>9.5673084349881226</v>
      </c>
      <c r="H19" s="10"/>
      <c r="I19" s="9"/>
      <c r="J19" s="15"/>
      <c r="K19" s="10"/>
      <c r="L19" s="9"/>
    </row>
    <row r="20" spans="1:12" ht="15" customHeight="1" x14ac:dyDescent="0.25">
      <c r="A20" s="10" t="s">
        <v>31</v>
      </c>
      <c r="B20" s="11">
        <v>1404.2857142857142</v>
      </c>
      <c r="C20" s="11">
        <v>1279.4304999999999</v>
      </c>
      <c r="D20" s="11">
        <v>1422.0487692307688</v>
      </c>
      <c r="E20" s="25">
        <f t="shared" si="1"/>
        <v>1.2649174426793708</v>
      </c>
      <c r="F20" s="25">
        <f t="shared" si="0"/>
        <v>11.147011833059231</v>
      </c>
      <c r="H20" s="10"/>
      <c r="I20" s="9"/>
      <c r="J20" s="15"/>
      <c r="K20" s="10"/>
      <c r="L20" s="9"/>
    </row>
    <row r="21" spans="1:12" ht="15" customHeight="1" x14ac:dyDescent="0.25">
      <c r="A21" s="10" t="s">
        <v>32</v>
      </c>
      <c r="B21" s="11">
        <v>1300</v>
      </c>
      <c r="C21" s="11">
        <v>1184.5806666666667</v>
      </c>
      <c r="D21" s="11">
        <v>1301.2388733333335</v>
      </c>
      <c r="E21" s="25">
        <f t="shared" si="1"/>
        <v>9.5297948717958339E-2</v>
      </c>
      <c r="F21" s="25">
        <f t="shared" si="0"/>
        <v>9.8480593132534704</v>
      </c>
      <c r="H21" s="10"/>
      <c r="I21" s="9"/>
      <c r="J21" s="15"/>
      <c r="K21" s="10"/>
      <c r="L21" s="9"/>
    </row>
    <row r="22" spans="1:12" ht="15" customHeight="1" x14ac:dyDescent="0.25">
      <c r="A22" s="10" t="s">
        <v>33</v>
      </c>
      <c r="B22" s="11">
        <v>1368</v>
      </c>
      <c r="C22" s="11">
        <v>1234.8869</v>
      </c>
      <c r="D22" s="11">
        <v>1308.9432315000001</v>
      </c>
      <c r="E22" s="25">
        <f t="shared" si="1"/>
        <v>-4.3170152412280602</v>
      </c>
      <c r="F22" s="25">
        <f t="shared" si="0"/>
        <v>5.9970132892332222</v>
      </c>
      <c r="H22" s="10"/>
      <c r="I22" s="9"/>
      <c r="J22" s="15"/>
      <c r="K22" s="10"/>
      <c r="L22" s="9"/>
    </row>
    <row r="23" spans="1:12" ht="15" customHeight="1" x14ac:dyDescent="0.25">
      <c r="A23" s="10" t="s">
        <v>9</v>
      </c>
      <c r="B23" s="11">
        <v>1500</v>
      </c>
      <c r="C23" s="11">
        <v>1266.325</v>
      </c>
      <c r="D23" s="11">
        <v>1428.810125</v>
      </c>
      <c r="E23" s="25">
        <f t="shared" si="1"/>
        <v>-4.7459916666666686</v>
      </c>
      <c r="F23" s="25">
        <f t="shared" si="0"/>
        <v>12.831234082877613</v>
      </c>
      <c r="H23" s="10"/>
      <c r="I23" s="9"/>
      <c r="J23" s="15"/>
      <c r="K23" s="10"/>
      <c r="L23" s="9"/>
    </row>
    <row r="24" spans="1:12" ht="15" customHeight="1" x14ac:dyDescent="0.25">
      <c r="A24" s="10" t="s">
        <v>44</v>
      </c>
      <c r="B24" s="11">
        <v>1460</v>
      </c>
      <c r="C24" s="11">
        <v>1342.6657142857143</v>
      </c>
      <c r="D24" s="11">
        <v>1403.66</v>
      </c>
      <c r="E24" s="25">
        <f t="shared" si="1"/>
        <v>-3.8589041095890355</v>
      </c>
      <c r="F24" s="25">
        <f t="shared" si="0"/>
        <v>4.5427752466841049</v>
      </c>
      <c r="H24" s="10"/>
      <c r="I24" s="9"/>
      <c r="J24" s="15"/>
      <c r="K24" s="10"/>
      <c r="L24" s="9"/>
    </row>
    <row r="25" spans="1:12" ht="15" customHeight="1" x14ac:dyDescent="0.25">
      <c r="A25" s="13" t="s">
        <v>48</v>
      </c>
      <c r="B25" s="12">
        <v>1335.2805888043026</v>
      </c>
      <c r="C25" s="12">
        <v>1275.4089511077159</v>
      </c>
      <c r="D25" s="12">
        <v>1415.8474857428571</v>
      </c>
      <c r="E25" s="12">
        <f t="shared" si="1"/>
        <v>6.033705396009637</v>
      </c>
      <c r="F25" s="12">
        <f t="shared" si="0"/>
        <v>11.011255214507297</v>
      </c>
      <c r="H25" s="10"/>
      <c r="I25" s="9"/>
      <c r="J25" s="15"/>
      <c r="K25" s="8"/>
      <c r="L25" s="14"/>
    </row>
    <row r="26" spans="1:12" ht="15" customHeight="1" x14ac:dyDescent="0.25">
      <c r="A26" s="10" t="s">
        <v>13</v>
      </c>
      <c r="B26" s="11">
        <v>1363.2333333333333</v>
      </c>
      <c r="C26" s="11">
        <v>1311</v>
      </c>
      <c r="D26" s="11">
        <v>1425.22</v>
      </c>
      <c r="E26" s="25">
        <f t="shared" si="1"/>
        <v>4.5470327896911762</v>
      </c>
      <c r="F26" s="25">
        <f t="shared" si="0"/>
        <v>8.7124332570556859</v>
      </c>
      <c r="H26" s="10"/>
      <c r="I26" s="9"/>
      <c r="J26" s="8"/>
      <c r="K26" s="7"/>
    </row>
    <row r="27" spans="1:12" ht="15" customHeight="1" x14ac:dyDescent="0.25">
      <c r="A27" s="10" t="s">
        <v>17</v>
      </c>
      <c r="B27" s="11">
        <v>1318.2851409912109</v>
      </c>
      <c r="C27" s="11">
        <v>1257.3295454545455</v>
      </c>
      <c r="D27" s="11">
        <v>1393.3174999999999</v>
      </c>
      <c r="E27" s="25">
        <f t="shared" si="1"/>
        <v>5.6916638651007281</v>
      </c>
      <c r="F27" s="25">
        <f t="shared" si="0"/>
        <v>10.815617515477415</v>
      </c>
      <c r="H27" s="10"/>
      <c r="I27" s="9"/>
      <c r="J27" s="8"/>
      <c r="K27" s="7"/>
    </row>
    <row r="28" spans="1:12" ht="15" customHeight="1" x14ac:dyDescent="0.25">
      <c r="A28" s="10" t="s">
        <v>23</v>
      </c>
      <c r="B28" s="11">
        <v>1308.3333333333333</v>
      </c>
      <c r="C28" s="11">
        <v>1265.9328571428571</v>
      </c>
      <c r="D28" s="11">
        <v>1398.0132900000001</v>
      </c>
      <c r="E28" s="25">
        <f t="shared" si="1"/>
        <v>6.8545189808917328</v>
      </c>
      <c r="F28" s="25">
        <f t="shared" si="0"/>
        <v>10.433446932978855</v>
      </c>
      <c r="H28" s="10"/>
      <c r="I28" s="9"/>
      <c r="J28" s="8"/>
      <c r="K28" s="7"/>
    </row>
    <row r="29" spans="1:12" ht="15" customHeight="1" x14ac:dyDescent="0.25">
      <c r="A29" s="10" t="s">
        <v>26</v>
      </c>
      <c r="B29" s="11">
        <v>1341.4375</v>
      </c>
      <c r="C29" s="11">
        <v>1299.9000000000001</v>
      </c>
      <c r="D29" s="11">
        <v>1468.2900000000002</v>
      </c>
      <c r="E29" s="25">
        <f t="shared" si="1"/>
        <v>9.4564599543400405</v>
      </c>
      <c r="F29" s="25">
        <f t="shared" si="0"/>
        <v>12.954073390260795</v>
      </c>
      <c r="H29" s="10"/>
      <c r="I29" s="9"/>
      <c r="J29" s="8"/>
      <c r="K29" s="7"/>
    </row>
    <row r="30" spans="1:12" ht="15" customHeight="1" x14ac:dyDescent="0.25">
      <c r="A30" s="10" t="s">
        <v>28</v>
      </c>
      <c r="B30" s="11">
        <v>1345.1136363636363</v>
      </c>
      <c r="C30" s="11">
        <v>1242.8823529411764</v>
      </c>
      <c r="D30" s="11">
        <v>1394.3966387142857</v>
      </c>
      <c r="E30" s="25">
        <f t="shared" si="1"/>
        <v>3.6638541918198451</v>
      </c>
      <c r="F30" s="25">
        <f t="shared" si="0"/>
        <v>12.190557329465944</v>
      </c>
      <c r="H30" s="10"/>
      <c r="I30" s="9"/>
      <c r="J30" s="8"/>
      <c r="K30" s="7"/>
    </row>
    <row r="31" spans="1:12" ht="15" customHeight="1" x14ac:dyDescent="0.25">
      <c r="A31" s="13" t="s">
        <v>47</v>
      </c>
      <c r="B31" s="12">
        <v>1451.6752645502645</v>
      </c>
      <c r="C31" s="12">
        <v>1267.4106099760804</v>
      </c>
      <c r="D31" s="12">
        <v>1387.1797539604379</v>
      </c>
      <c r="E31" s="12">
        <f t="shared" si="1"/>
        <v>-4.4428331986360332</v>
      </c>
      <c r="F31" s="12">
        <f t="shared" si="0"/>
        <v>9.4499085806625729</v>
      </c>
    </row>
    <row r="32" spans="1:12" ht="15" customHeight="1" x14ac:dyDescent="0.25">
      <c r="A32" s="10" t="s">
        <v>16</v>
      </c>
      <c r="B32" s="11">
        <v>1562.8571428571429</v>
      </c>
      <c r="C32" s="11">
        <v>1277.3816666666667</v>
      </c>
      <c r="D32" s="11">
        <v>1435.22</v>
      </c>
      <c r="E32" s="25">
        <f t="shared" si="1"/>
        <v>-8.16691042047532</v>
      </c>
      <c r="F32" s="25">
        <f t="shared" si="0"/>
        <v>12.356395700058325</v>
      </c>
      <c r="H32" s="10"/>
      <c r="I32" s="9"/>
      <c r="J32" s="8"/>
      <c r="K32" s="7"/>
    </row>
    <row r="33" spans="1:11" ht="15" customHeight="1" x14ac:dyDescent="0.25">
      <c r="A33" s="10" t="s">
        <v>19</v>
      </c>
      <c r="B33" s="11">
        <v>1527.7777777777778</v>
      </c>
      <c r="C33" s="11">
        <v>1231.9825000000001</v>
      </c>
      <c r="D33" s="11">
        <v>1400.8525000000002</v>
      </c>
      <c r="E33" s="25">
        <f t="shared" si="1"/>
        <v>-8.3078363636363548</v>
      </c>
      <c r="F33" s="25">
        <f t="shared" si="0"/>
        <v>13.707175223674046</v>
      </c>
      <c r="H33" s="10"/>
      <c r="I33" s="9"/>
      <c r="J33" s="8"/>
      <c r="K33" s="7"/>
    </row>
    <row r="34" spans="1:11" ht="15" customHeight="1" x14ac:dyDescent="0.25">
      <c r="A34" s="10" t="s">
        <v>21</v>
      </c>
      <c r="B34" s="11">
        <v>1515.6666666666667</v>
      </c>
      <c r="C34" s="11">
        <v>1350.2067973856208</v>
      </c>
      <c r="D34" s="11">
        <v>1429.6644444444441</v>
      </c>
      <c r="E34" s="25">
        <f t="shared" si="1"/>
        <v>-5.6742174327395594</v>
      </c>
      <c r="F34" s="25">
        <f t="shared" si="0"/>
        <v>5.8848501735197631</v>
      </c>
      <c r="H34" s="10"/>
      <c r="I34" s="9"/>
      <c r="J34" s="8"/>
      <c r="K34" s="7"/>
    </row>
    <row r="35" spans="1:11" ht="15" customHeight="1" x14ac:dyDescent="0.25">
      <c r="A35" s="10" t="s">
        <v>22</v>
      </c>
      <c r="B35" s="11">
        <v>1487.5</v>
      </c>
      <c r="C35" s="11">
        <v>1193.8239458041958</v>
      </c>
      <c r="D35" s="11">
        <v>1377.9853293181818</v>
      </c>
      <c r="E35" s="25">
        <f t="shared" si="1"/>
        <v>-7.362330802139037</v>
      </c>
      <c r="F35" s="25">
        <f t="shared" si="0"/>
        <v>15.426176042224499</v>
      </c>
      <c r="H35" s="10"/>
      <c r="I35" s="9"/>
      <c r="J35" s="8"/>
      <c r="K35" s="7"/>
    </row>
    <row r="36" spans="1:11" ht="15" customHeight="1" x14ac:dyDescent="0.25">
      <c r="A36" s="10" t="s">
        <v>24</v>
      </c>
      <c r="B36" s="11">
        <v>1281.25</v>
      </c>
      <c r="C36" s="11">
        <v>1330.625</v>
      </c>
      <c r="D36" s="11">
        <v>1307.835</v>
      </c>
      <c r="E36" s="25">
        <f t="shared" si="1"/>
        <v>2.0749268292682954</v>
      </c>
      <c r="F36" s="25">
        <f t="shared" si="0"/>
        <v>-1.7127289807421298</v>
      </c>
      <c r="H36" s="10"/>
      <c r="I36" s="9"/>
      <c r="J36" s="8"/>
      <c r="K36" s="7"/>
    </row>
    <row r="37" spans="1:11" ht="15" customHeight="1" x14ac:dyDescent="0.25">
      <c r="A37" s="10" t="s">
        <v>41</v>
      </c>
      <c r="B37" s="11">
        <v>1335</v>
      </c>
      <c r="C37" s="11">
        <v>1220.4437499999999</v>
      </c>
      <c r="D37" s="11">
        <v>1371.52125</v>
      </c>
      <c r="E37" s="25">
        <f t="shared" si="1"/>
        <v>2.7356741573033716</v>
      </c>
      <c r="F37" s="25">
        <f t="shared" si="0"/>
        <v>12.378899068474079</v>
      </c>
      <c r="H37" s="10"/>
      <c r="I37" s="9"/>
      <c r="J37" s="8"/>
      <c r="K37" s="7"/>
    </row>
    <row r="38" spans="1:11" ht="15" customHeight="1" x14ac:dyDescent="0.25">
      <c r="A38" s="13" t="s">
        <v>46</v>
      </c>
      <c r="B38" s="12">
        <v>1326.5011963118579</v>
      </c>
      <c r="C38" s="12">
        <v>1182.0651896825395</v>
      </c>
      <c r="D38" s="12">
        <v>1409.017644652381</v>
      </c>
      <c r="E38" s="12">
        <f t="shared" si="1"/>
        <v>6.220608663599247</v>
      </c>
      <c r="F38" s="12">
        <f t="shared" si="0"/>
        <v>19.199656410725773</v>
      </c>
    </row>
    <row r="39" spans="1:11" x14ac:dyDescent="0.25">
      <c r="A39" s="10" t="s">
        <v>25</v>
      </c>
      <c r="B39" s="11">
        <v>1278.6470588235295</v>
      </c>
      <c r="C39" s="11">
        <v>1145.3966666666668</v>
      </c>
      <c r="D39" s="11">
        <v>1412.8376916666666</v>
      </c>
      <c r="E39" s="25">
        <f t="shared" si="1"/>
        <v>10.494735972458621</v>
      </c>
      <c r="F39" s="25">
        <f t="shared" si="0"/>
        <v>23.349205806430945</v>
      </c>
      <c r="H39" s="10"/>
      <c r="I39" s="9"/>
      <c r="J39" s="8"/>
      <c r="K39" s="7"/>
    </row>
    <row r="40" spans="1:11" x14ac:dyDescent="0.25">
      <c r="A40" s="10" t="s">
        <v>35</v>
      </c>
      <c r="B40" s="11">
        <v>1281.8333333333333</v>
      </c>
      <c r="C40" s="11">
        <v>1168.1100000000001</v>
      </c>
      <c r="D40" s="11">
        <v>1435.22</v>
      </c>
      <c r="E40" s="25">
        <f t="shared" si="1"/>
        <v>11.966194253023023</v>
      </c>
      <c r="F40" s="25">
        <f t="shared" si="0"/>
        <v>22.866853292926166</v>
      </c>
      <c r="H40" s="10"/>
      <c r="I40" s="9"/>
      <c r="J40" s="8"/>
      <c r="K40" s="7"/>
    </row>
    <row r="41" spans="1:11" x14ac:dyDescent="0.25">
      <c r="A41" s="10" t="s">
        <v>37</v>
      </c>
      <c r="B41" s="11">
        <v>1200.7142857142858</v>
      </c>
      <c r="C41" s="11">
        <v>1180.7740571428571</v>
      </c>
      <c r="D41" s="11">
        <v>1399.6148572000002</v>
      </c>
      <c r="E41" s="25">
        <f t="shared" si="1"/>
        <v>16.565187393218331</v>
      </c>
      <c r="F41" s="25">
        <f t="shared" si="0"/>
        <v>18.533672782977341</v>
      </c>
      <c r="H41" s="10"/>
      <c r="I41" s="9"/>
      <c r="J41" s="8"/>
      <c r="K41" s="7"/>
    </row>
    <row r="42" spans="1:11" x14ac:dyDescent="0.25">
      <c r="A42" s="10" t="s">
        <v>38</v>
      </c>
      <c r="B42" s="11">
        <v>1400</v>
      </c>
      <c r="C42" s="11">
        <v>1150.76</v>
      </c>
      <c r="D42" s="11">
        <v>1393.2333333333336</v>
      </c>
      <c r="E42" s="25">
        <f t="shared" si="1"/>
        <v>-0.48333333333331602</v>
      </c>
      <c r="F42" s="25">
        <f t="shared" si="0"/>
        <v>21.070712688426223</v>
      </c>
      <c r="H42" s="10"/>
      <c r="I42" s="9"/>
      <c r="J42" s="8"/>
      <c r="K42" s="7"/>
    </row>
    <row r="43" spans="1:11" x14ac:dyDescent="0.25">
      <c r="A43" s="10" t="s">
        <v>39</v>
      </c>
      <c r="B43" s="11">
        <v>1425</v>
      </c>
      <c r="C43" s="11">
        <v>1245.3007142857143</v>
      </c>
      <c r="D43" s="11">
        <v>1419.4742857142858</v>
      </c>
      <c r="E43" s="25">
        <f t="shared" si="1"/>
        <v>-0.38776942355889332</v>
      </c>
      <c r="F43" s="25">
        <f t="shared" si="0"/>
        <v>13.986466837327303</v>
      </c>
      <c r="H43" s="10"/>
      <c r="I43" s="9"/>
      <c r="J43" s="8"/>
      <c r="K43" s="7"/>
    </row>
    <row r="44" spans="1:11" x14ac:dyDescent="0.25">
      <c r="A44" s="10" t="s">
        <v>12</v>
      </c>
      <c r="B44" s="11">
        <v>1372.8125</v>
      </c>
      <c r="C44" s="11">
        <v>1202.0497</v>
      </c>
      <c r="D44" s="11">
        <v>1393.7257</v>
      </c>
      <c r="E44" s="25">
        <f t="shared" si="1"/>
        <v>1.5233835647621188</v>
      </c>
      <c r="F44" s="25">
        <f t="shared" si="0"/>
        <v>15.945763307457247</v>
      </c>
      <c r="H44" s="10"/>
      <c r="I44" s="9"/>
      <c r="J44" s="8"/>
      <c r="K44" s="7"/>
    </row>
    <row r="45" spans="1:11" x14ac:dyDescent="0.25">
      <c r="A45" s="6" t="s">
        <v>45</v>
      </c>
      <c r="B45" s="5">
        <v>1441.2844108600957</v>
      </c>
      <c r="C45" s="5">
        <v>1277.8090605308903</v>
      </c>
      <c r="D45" s="5">
        <v>1398.5749435864798</v>
      </c>
      <c r="E45" s="12">
        <f t="shared" si="1"/>
        <v>-2.9632921130485812</v>
      </c>
      <c r="F45" s="12">
        <f t="shared" si="0"/>
        <v>9.4510116406135811</v>
      </c>
      <c r="H45" s="3"/>
      <c r="I45" s="2"/>
      <c r="J45" s="2"/>
    </row>
    <row r="46" spans="1:11" x14ac:dyDescent="0.25">
      <c r="B46" s="4"/>
      <c r="H46" s="3"/>
      <c r="I46" s="2"/>
      <c r="J46" s="2"/>
    </row>
    <row r="47" spans="1:11" x14ac:dyDescent="0.25">
      <c r="H47" s="3"/>
      <c r="I47" s="2"/>
      <c r="J4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OCTOBER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Toluwalase Aderemi</cp:lastModifiedBy>
  <dcterms:created xsi:type="dcterms:W3CDTF">2025-11-19T11:07:20Z</dcterms:created>
  <dcterms:modified xsi:type="dcterms:W3CDTF">2026-09-16T09:58:09Z</dcterms:modified>
</cp:coreProperties>
</file>