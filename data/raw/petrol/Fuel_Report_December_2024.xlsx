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B9824167-7379-4285-862D-1E6C89A6F664}" xr6:coauthVersionLast="47" xr6:coauthVersionMax="47" xr10:uidLastSave="{00000000-0000-0000-0000-000000000000}"/>
  <bookViews>
    <workbookView xWindow="-108" yWindow="-108" windowWidth="23256" windowHeight="14856" xr2:uid="{09B26E24-88C3-4BC2-9098-4DBCC7834E21}"/>
  </bookViews>
  <sheets>
    <sheet name="Fuel December 2024" sheetId="2" r:id="rId1"/>
  </sheets>
  <externalReferences>
    <externalReference r:id="rId2"/>
  </externalReferences>
  <definedNames>
    <definedName name="_xlnm._FilterDatabase" localSheetId="0" hidden="1">'Fuel December 2024'!#REF!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2" l="1"/>
  <c r="D41" i="2" s="1"/>
  <c r="C39" i="2"/>
  <c r="B39" i="2"/>
  <c r="G7" i="2"/>
  <c r="G6" i="2"/>
  <c r="J5" i="2"/>
  <c r="G5" i="2"/>
  <c r="G4" i="2"/>
  <c r="G3" i="2"/>
  <c r="G2" i="2"/>
  <c r="J2" i="2" s="1"/>
  <c r="D40" i="2" l="1"/>
</calcChain>
</file>

<file path=xl/sharedStrings.xml><?xml version="1.0" encoding="utf-8"?>
<sst xmlns="http://schemas.openxmlformats.org/spreadsheetml/2006/main" count="59" uniqueCount="53">
  <si>
    <t>Zone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</si>
  <si>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</si>
  <si>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</si>
  <si>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</si>
  <si>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</si>
  <si>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</si>
  <si>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</si>
  <si>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</si>
  <si>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</si>
  <si>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</si>
  <si>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</si>
  <si>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</si>
  <si>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</si>
  <si>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</si>
  <si>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</si>
  <si>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</si>
  <si>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</si>
  <si>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</si>
  <si>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</si>
  <si>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</si>
  <si>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</si>
  <si>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</si>
  <si>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Lagos</t>
  </si>
  <si>
    <t>Ogun</t>
  </si>
  <si>
    <t>Jigawa</t>
  </si>
  <si>
    <t>Ekiti</t>
  </si>
  <si>
    <t>Kaduna</t>
  </si>
  <si>
    <t>Kano</t>
  </si>
  <si>
    <t>Katsina</t>
  </si>
  <si>
    <t>Kebbi</t>
  </si>
  <si>
    <t>Sokoto</t>
  </si>
  <si>
    <t>Zamfara</t>
  </si>
  <si>
    <t>Abia</t>
  </si>
  <si>
    <t>Anambra</t>
  </si>
  <si>
    <t>Ebonyi</t>
  </si>
  <si>
    <t>Enugu</t>
  </si>
  <si>
    <t>Imo</t>
  </si>
  <si>
    <t>Akwa Ibom</t>
  </si>
  <si>
    <t>Bayelsa</t>
  </si>
  <si>
    <t>Cross River</t>
  </si>
  <si>
    <t>Delta</t>
  </si>
  <si>
    <t>Edo</t>
  </si>
  <si>
    <t>Rivers</t>
  </si>
  <si>
    <t>Ondo</t>
  </si>
  <si>
    <t>Osun</t>
  </si>
  <si>
    <t>Oyo</t>
  </si>
  <si>
    <t xml:space="preserve">State </t>
  </si>
  <si>
    <t>Average Price</t>
  </si>
  <si>
    <t>MAX</t>
  </si>
  <si>
    <t>MIN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</si>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</sst>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1"/>
      <color indexed="8"/>
      <name val="Calibri"/>
    </font>
    <font>
      <sz val="11"/>
      <name val="Calibri"/>
      <family val="2"/>
      <scheme val="minor"/>
    </font>
    <font>
      <b/>
      <sz val="11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">
    <xf numFmtId="0" fontId="0" fillId="0" borderId="0" xfId="0"/>
    <xf numFmtId="0" fontId="7" fillId="2" borderId="3" xfId="0" applyFont="1" applyFill="1" applyBorder="1" applyAlignment="1">
      <alignment vertical="center"/>
    </xf>
    <xf numFmtId="17" fontId="8" fillId="2" borderId="1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9" fillId="0" borderId="4" xfId="0" applyFont="1" applyBorder="1" applyAlignment="1">
      <alignment horizontal="left" vertical="center"/>
    </xf>
    <xf numFmtId="2" fontId="4" fillId="0" borderId="2" xfId="2" applyNumberFormat="1" applyFont="1" applyBorder="1" applyAlignment="1">
      <alignment horizontal="right" wrapText="1"/>
    </xf>
    <xf numFmtId="2" fontId="4" fillId="0" borderId="2" xfId="3" applyNumberFormat="1" applyFont="1" applyBorder="1" applyAlignment="1">
      <alignment horizontal="right" wrapText="1"/>
    </xf>
    <xf numFmtId="2" fontId="10" fillId="0" borderId="2" xfId="4" applyNumberFormat="1" applyFont="1" applyBorder="1" applyAlignment="1">
      <alignment horizontal="right" wrapText="1"/>
    </xf>
    <xf numFmtId="0" fontId="5" fillId="0" borderId="0" xfId="0" applyFont="1" applyAlignment="1">
      <alignment horizontal="left" vertical="center"/>
    </xf>
    <xf numFmtId="2" fontId="0" fillId="0" borderId="0" xfId="0" applyNumberFormat="1"/>
    <xf numFmtId="0" fontId="6" fillId="0" borderId="0" xfId="5" applyFont="1" applyAlignment="1">
      <alignment horizontal="left"/>
    </xf>
    <xf numFmtId="0" fontId="4" fillId="0" borderId="2" xfId="6" applyFont="1" applyBorder="1" applyAlignment="1">
      <alignment horizontal="left" wrapText="1"/>
    </xf>
    <xf numFmtId="0" fontId="4" fillId="0" borderId="2" xfId="7" applyFont="1" applyBorder="1" applyAlignment="1">
      <alignment horizontal="left" wrapText="1"/>
    </xf>
    <xf numFmtId="2" fontId="4" fillId="0" borderId="2" xfId="8" applyNumberFormat="1" applyFont="1" applyBorder="1" applyAlignment="1">
      <alignment horizontal="right" wrapText="1"/>
    </xf>
    <xf numFmtId="2" fontId="6" fillId="0" borderId="0" xfId="3" applyNumberFormat="1" applyFont="1" applyAlignment="1">
      <alignment horizontal="right" wrapText="1"/>
    </xf>
    <xf numFmtId="0" fontId="11" fillId="0" borderId="0" xfId="0" applyFont="1"/>
    <xf numFmtId="2" fontId="12" fillId="0" borderId="0" xfId="0" applyNumberFormat="1" applyFont="1" applyAlignment="1">
      <alignment horizontal="right" vertical="center"/>
    </xf>
  </cellXfs>
  <cellStyles count="9">
    <cellStyle name="Normal" xfId="0" builtinId="0"/>
    <cellStyle name="Normal 2" xfId="1" xr:uid="{148C3C11-5C21-4426-8BED-8B9BA474B4B7}"/>
    <cellStyle name="Normal_APRIL 2018 fuel" xfId="6" xr:uid="{AF890029-8FFA-4989-8EAD-C92AEAEAEB72}"/>
    <cellStyle name="Normal_APRIL 2018 fuel 2" xfId="7" xr:uid="{509E17B2-2523-409E-B70C-EA42E6E88379}"/>
    <cellStyle name="Normal_FUEL" xfId="4" xr:uid="{A9361ED7-D9C4-4043-8985-B7527AF5399E}"/>
    <cellStyle name="Normal_Sheet1 3" xfId="5" xr:uid="{8E499E09-1FE2-4823-9933-815FA1A0618A}"/>
    <cellStyle name="Normal_Sheet3 2" xfId="2" xr:uid="{088B6560-2CB3-4FF2-B1B6-FF5FDA7DA403}"/>
    <cellStyle name="Normal_Sheet4 2" xfId="3" xr:uid="{65B57E40-0EA0-4244-8BEE-FFD49B0F39B4}"/>
    <cellStyle name="Normal_Sheet5" xfId="8" xr:uid="{3A5BA841-38A4-4F56-BC2F-680AC1EF4D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is\OneDrive\Documents\inforgraphic\FUEL%20Report\PMS_Fuel%20WATCH%20SERIES.xlsx" TargetMode="External"/><Relationship Id="rId1" Type="http://schemas.openxmlformats.org/officeDocument/2006/relationships/externalLinkPath" Target="/Users/calis/OneDrive/Documents/inforgraphic/FUEL%20Report/PMS_Fuel%20WATCH%20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EL Series"/>
      <sheetName val="Fuel December 2024"/>
      <sheetName val="Calculations"/>
      <sheetName val="Output"/>
    </sheetNames>
    <sheetDataSet>
      <sheetData sheetId="0"/>
      <sheetData sheetId="1"/>
      <sheetData sheetId="2">
        <row r="2">
          <cell r="H2">
            <v>1244.2404716409351</v>
          </cell>
        </row>
        <row r="3">
          <cell r="H3">
            <v>1178.7526402169258</v>
          </cell>
        </row>
        <row r="4">
          <cell r="H4">
            <v>1245.8950155452319</v>
          </cell>
        </row>
        <row r="5">
          <cell r="H5">
            <v>1187.8367559523815</v>
          </cell>
        </row>
        <row r="15">
          <cell r="H15">
            <v>1115.9977668845315</v>
          </cell>
        </row>
        <row r="19">
          <cell r="H19">
            <v>1175.2339612768187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8C6F-5582-4788-927F-CDEA90BA91F1}">
  <dimension ref="A1:J41"/>
  <sheetViews>
    <sheetView tabSelected="1" zoomScale="150" zoomScaleNormal="150" workbookViewId="0">
      <selection activeCell="J9" sqref="J9"/>
    </sheetView>
  </sheetViews>
  <sheetFormatPr defaultRowHeight="14.4" x14ac:dyDescent="0.3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9.109375" customWidth="1"/>
    <col min="8" max="8" width="13.33203125" customWidth="1"/>
    <col min="9" max="10" width="9.109375" customWidth="1"/>
    <col min="11" max="11" width="8.88671875" customWidth="1"/>
  </cols>
  <sheetData>
    <row r="1" spans="1:10" ht="15" thickBot="1" x14ac:dyDescent="0.35">
      <c r="A1" s="1" t="s">
        <v>46</v>
      </c>
      <c r="B1" s="2">
        <v>45261</v>
      </c>
      <c r="C1" s="2">
        <v>45597</v>
      </c>
      <c r="D1" s="2">
        <v>45627</v>
      </c>
      <c r="F1" s="3" t="s">
        <v>0</v>
      </c>
      <c r="G1" s="3" t="s">
        <v>47</v>
      </c>
    </row>
    <row r="2" spans="1:10" ht="15" thickBot="1" x14ac:dyDescent="0.35">
      <c r="A2" s="4" t="s">
        <v>32</v>
      </c>
      <c r="B2" s="5">
        <v>690.52631578947364</v>
      </c>
      <c r="C2" s="6">
        <v>1260.65625</v>
      </c>
      <c r="D2" s="7">
        <v>1224.671875</v>
      </c>
      <c r="F2" s="8" t="s">
        <v>1</v>
      </c>
      <c r="G2" s="9">
        <f>[1]Calculations!H2</f>
        <v>1244.2404716409351</v>
      </c>
      <c r="I2" s="9" t="s">
        <v>48</v>
      </c>
      <c r="J2" s="9">
        <f>MAX(G2:G7)</f>
        <v>1245.8950155452319</v>
      </c>
    </row>
    <row r="3" spans="1:10" ht="15" thickBot="1" x14ac:dyDescent="0.35">
      <c r="A3" s="4" t="s">
        <v>2</v>
      </c>
      <c r="B3" s="5">
        <v>663.33333333333337</v>
      </c>
      <c r="C3" s="6">
        <v>1230.5639892578124</v>
      </c>
      <c r="D3" s="7">
        <v>1102.25</v>
      </c>
      <c r="F3" s="8" t="s">
        <v>3</v>
      </c>
      <c r="G3" s="9">
        <f>[1]Calculations!H3</f>
        <v>1178.7526402169258</v>
      </c>
      <c r="I3" s="9"/>
    </row>
    <row r="4" spans="1:10" ht="15" thickBot="1" x14ac:dyDescent="0.35">
      <c r="A4" s="4" t="s">
        <v>15</v>
      </c>
      <c r="B4" s="5">
        <v>745.71428571428567</v>
      </c>
      <c r="C4" s="6">
        <v>1319.8472290039063</v>
      </c>
      <c r="D4" s="7">
        <v>1301.3333333333301</v>
      </c>
      <c r="F4" s="8" t="s">
        <v>5</v>
      </c>
      <c r="G4" s="9">
        <f>[1]Calculations!H4</f>
        <v>1245.8950155452319</v>
      </c>
    </row>
    <row r="5" spans="1:10" ht="15" thickBot="1" x14ac:dyDescent="0.35">
      <c r="A5" s="4" t="s">
        <v>37</v>
      </c>
      <c r="B5" s="5">
        <v>671.66666666666663</v>
      </c>
      <c r="C5" s="6">
        <v>1203.9285714285713</v>
      </c>
      <c r="D5" s="7">
        <v>1146.9375</v>
      </c>
      <c r="F5" s="8" t="s">
        <v>7</v>
      </c>
      <c r="G5" s="9">
        <f>[1]Calculations!H5</f>
        <v>1187.8367559523815</v>
      </c>
      <c r="I5" t="s">
        <v>49</v>
      </c>
      <c r="J5" s="9">
        <f>MIN(G2:G7)</f>
        <v>1115.9977668845315</v>
      </c>
    </row>
    <row r="6" spans="1:10" ht="15" thickBot="1" x14ac:dyDescent="0.35">
      <c r="A6" s="4" t="s">
        <v>33</v>
      </c>
      <c r="B6" s="5">
        <v>680</v>
      </c>
      <c r="C6" s="6">
        <v>1270.75</v>
      </c>
      <c r="D6" s="7">
        <v>1238.7611355251736</v>
      </c>
      <c r="F6" s="8" t="s">
        <v>9</v>
      </c>
      <c r="G6" s="9">
        <f>[1]Calculations!H15</f>
        <v>1115.9977668845315</v>
      </c>
    </row>
    <row r="7" spans="1:10" ht="15" thickBot="1" x14ac:dyDescent="0.35">
      <c r="A7" s="4" t="s">
        <v>16</v>
      </c>
      <c r="B7" s="5">
        <v>675.28571428571433</v>
      </c>
      <c r="C7" s="6">
        <v>1181.6923076923076</v>
      </c>
      <c r="D7" s="7">
        <v>1183.4772727272727</v>
      </c>
      <c r="F7" s="8" t="s">
        <v>11</v>
      </c>
      <c r="G7" s="9">
        <f>[1]Calculations!H19</f>
        <v>1175.2339612768187</v>
      </c>
    </row>
    <row r="8" spans="1:10" ht="15" thickBot="1" x14ac:dyDescent="0.35">
      <c r="A8" s="4" t="s">
        <v>38</v>
      </c>
      <c r="B8" s="5">
        <v>667.11111111111109</v>
      </c>
      <c r="C8" s="6">
        <v>1209.1666666666667</v>
      </c>
      <c r="D8" s="7">
        <v>1161.875</v>
      </c>
    </row>
    <row r="9" spans="1:10" ht="15" thickBot="1" x14ac:dyDescent="0.35">
      <c r="A9" s="4" t="s">
        <v>4</v>
      </c>
      <c r="B9" s="5">
        <v>658.88888888888891</v>
      </c>
      <c r="C9" s="6">
        <v>1365.1628766741071</v>
      </c>
      <c r="D9" s="7">
        <v>1234.5454545454545</v>
      </c>
    </row>
    <row r="10" spans="1:10" ht="15" thickBot="1" x14ac:dyDescent="0.35">
      <c r="A10" s="4" t="s">
        <v>17</v>
      </c>
      <c r="B10" s="5">
        <v>622.71428571428567</v>
      </c>
      <c r="C10" s="6">
        <v>1331.9444444444443</v>
      </c>
      <c r="D10" s="7">
        <v>1282.3846153846155</v>
      </c>
    </row>
    <row r="11" spans="1:10" ht="15" thickBot="1" x14ac:dyDescent="0.35">
      <c r="A11" s="4" t="s">
        <v>39</v>
      </c>
      <c r="B11" s="5">
        <v>679</v>
      </c>
      <c r="C11" s="6">
        <v>1218.5416666666667</v>
      </c>
      <c r="D11" s="7">
        <v>1228.1875</v>
      </c>
      <c r="F11" s="10" t="s">
        <v>14</v>
      </c>
    </row>
    <row r="12" spans="1:10" ht="15" thickBot="1" x14ac:dyDescent="0.35">
      <c r="A12" s="4" t="s">
        <v>40</v>
      </c>
      <c r="B12" s="5">
        <v>640</v>
      </c>
      <c r="C12" s="6">
        <v>1170.3571428571429</v>
      </c>
      <c r="D12" s="7">
        <v>1282.7142857142901</v>
      </c>
      <c r="F12" s="11" t="s">
        <v>19</v>
      </c>
      <c r="G12" s="7">
        <v>1307.049871826172</v>
      </c>
      <c r="J12" s="12"/>
    </row>
    <row r="13" spans="1:10" ht="15" thickBot="1" x14ac:dyDescent="0.35">
      <c r="A13" s="4" t="s">
        <v>34</v>
      </c>
      <c r="B13" s="5">
        <v>671.42857142857144</v>
      </c>
      <c r="C13" s="6">
        <v>1287.5714285714287</v>
      </c>
      <c r="D13" s="7">
        <v>1280.4135916573662</v>
      </c>
      <c r="F13" s="11" t="s">
        <v>15</v>
      </c>
      <c r="G13" s="7">
        <v>1301.3333333333301</v>
      </c>
      <c r="J13" s="12"/>
    </row>
    <row r="14" spans="1:10" ht="15.75" customHeight="1" thickBot="1" x14ac:dyDescent="0.35">
      <c r="A14" s="4" t="s">
        <v>41</v>
      </c>
      <c r="B14" s="5">
        <v>661.875</v>
      </c>
      <c r="C14" s="6">
        <v>1187.6071428571429</v>
      </c>
      <c r="D14" s="7">
        <v>1142.4000000000001</v>
      </c>
      <c r="F14" s="11" t="s">
        <v>40</v>
      </c>
      <c r="G14" s="7">
        <v>1282.7142857142901</v>
      </c>
      <c r="J14" s="12"/>
    </row>
    <row r="15" spans="1:10" ht="15" thickBot="1" x14ac:dyDescent="0.35">
      <c r="A15" s="4" t="s">
        <v>25</v>
      </c>
      <c r="B15" s="5">
        <v>653.4375</v>
      </c>
      <c r="C15" s="6">
        <v>1182.3809523809523</v>
      </c>
      <c r="D15" s="7">
        <v>1120</v>
      </c>
      <c r="G15" s="13"/>
      <c r="J15" s="12"/>
    </row>
    <row r="16" spans="1:10" ht="15.75" customHeight="1" thickBot="1" x14ac:dyDescent="0.35">
      <c r="A16" s="4" t="s">
        <v>35</v>
      </c>
      <c r="B16" s="5">
        <v>673.125</v>
      </c>
      <c r="C16" s="6">
        <v>1245.5555555555557</v>
      </c>
      <c r="D16" s="7">
        <v>1278.4666544596355</v>
      </c>
      <c r="F16" s="10" t="s">
        <v>20</v>
      </c>
      <c r="J16" s="12"/>
    </row>
    <row r="17" spans="1:10" ht="15" thickBot="1" x14ac:dyDescent="0.35">
      <c r="A17" s="4" t="s">
        <v>18</v>
      </c>
      <c r="B17" s="5">
        <v>703</v>
      </c>
      <c r="C17" s="6">
        <v>1232.8</v>
      </c>
      <c r="D17" s="7">
        <v>1176.125</v>
      </c>
      <c r="F17" s="11" t="s">
        <v>45</v>
      </c>
      <c r="G17" s="7">
        <v>1088.75</v>
      </c>
      <c r="J17" s="12"/>
    </row>
    <row r="18" spans="1:10" ht="13.5" customHeight="1" thickBot="1" x14ac:dyDescent="0.35">
      <c r="A18" s="4" t="s">
        <v>36</v>
      </c>
      <c r="B18" s="5">
        <v>683.68421052631584</v>
      </c>
      <c r="C18" s="6">
        <v>1224.0760869565217</v>
      </c>
      <c r="D18" s="7">
        <v>1198.8891015624999</v>
      </c>
      <c r="F18" s="11" t="s">
        <v>2</v>
      </c>
      <c r="G18" s="7">
        <v>1102.25</v>
      </c>
    </row>
    <row r="19" spans="1:10" ht="15" thickBot="1" x14ac:dyDescent="0.35">
      <c r="A19" s="4" t="s">
        <v>24</v>
      </c>
      <c r="B19" s="5">
        <v>682</v>
      </c>
      <c r="C19" s="6">
        <v>1308.5714285714287</v>
      </c>
      <c r="D19" s="7">
        <v>1258.4615384615399</v>
      </c>
      <c r="F19" s="11" t="s">
        <v>23</v>
      </c>
      <c r="G19" s="7">
        <v>1106.0666666666666</v>
      </c>
    </row>
    <row r="20" spans="1:10" ht="15" thickBot="1" x14ac:dyDescent="0.35">
      <c r="A20" s="4" t="s">
        <v>26</v>
      </c>
      <c r="B20" s="5">
        <v>673.66666666666663</v>
      </c>
      <c r="C20" s="6">
        <v>1193.75</v>
      </c>
      <c r="D20" s="7">
        <v>1161.2</v>
      </c>
    </row>
    <row r="21" spans="1:10" ht="15" thickBot="1" x14ac:dyDescent="0.35">
      <c r="A21" s="4" t="s">
        <v>27</v>
      </c>
      <c r="B21" s="5">
        <v>602.77777777777783</v>
      </c>
      <c r="C21" s="6">
        <v>1152.8571428571429</v>
      </c>
      <c r="D21" s="7">
        <v>1152.1428571428571</v>
      </c>
    </row>
    <row r="22" spans="1:10" ht="15" thickBot="1" x14ac:dyDescent="0.35">
      <c r="A22" s="4" t="s">
        <v>28</v>
      </c>
      <c r="B22" s="5">
        <v>665</v>
      </c>
      <c r="C22" s="6">
        <v>1121.25</v>
      </c>
      <c r="D22" s="7">
        <v>1187.5</v>
      </c>
    </row>
    <row r="23" spans="1:10" ht="15" thickBot="1" x14ac:dyDescent="0.35">
      <c r="A23" s="4" t="s">
        <v>29</v>
      </c>
      <c r="B23" s="5">
        <v>715.625</v>
      </c>
      <c r="C23" s="6">
        <v>1186.25</v>
      </c>
      <c r="D23" s="7">
        <v>1194</v>
      </c>
    </row>
    <row r="24" spans="1:10" ht="15" thickBot="1" x14ac:dyDescent="0.35">
      <c r="A24" s="4" t="s">
        <v>6</v>
      </c>
      <c r="B24" s="5">
        <v>660.90909090909088</v>
      </c>
      <c r="C24" s="6">
        <v>1249.9791666666667</v>
      </c>
      <c r="D24" s="7">
        <v>1188.1818181818182</v>
      </c>
    </row>
    <row r="25" spans="1:10" ht="15" thickBot="1" x14ac:dyDescent="0.35">
      <c r="A25" s="4" t="s">
        <v>8</v>
      </c>
      <c r="B25" s="5">
        <v>650.625</v>
      </c>
      <c r="C25" s="6">
        <v>1173.0615234375</v>
      </c>
      <c r="D25" s="7">
        <v>1133.0769230769231</v>
      </c>
    </row>
    <row r="26" spans="1:10" ht="15" thickBot="1" x14ac:dyDescent="0.35">
      <c r="A26" s="4" t="s">
        <v>22</v>
      </c>
      <c r="B26" s="5">
        <v>612.72222222222217</v>
      </c>
      <c r="C26" s="6">
        <v>1092.7894736842106</v>
      </c>
      <c r="D26" s="7">
        <v>1106.3333333333333</v>
      </c>
    </row>
    <row r="27" spans="1:10" ht="15" thickBot="1" x14ac:dyDescent="0.35">
      <c r="A27" s="4" t="s">
        <v>10</v>
      </c>
      <c r="B27" s="5">
        <v>661.42857142857144</v>
      </c>
      <c r="C27" s="6">
        <v>1181.8863636363637</v>
      </c>
      <c r="D27" s="7">
        <v>1157.1428571428571</v>
      </c>
    </row>
    <row r="28" spans="1:10" ht="15" thickBot="1" x14ac:dyDescent="0.35">
      <c r="A28" s="4" t="s">
        <v>12</v>
      </c>
      <c r="B28" s="5">
        <v>659.375</v>
      </c>
      <c r="C28" s="6">
        <v>1173.1839036207932</v>
      </c>
      <c r="D28" s="7">
        <v>1176.0714285714287</v>
      </c>
    </row>
    <row r="29" spans="1:10" ht="15" thickBot="1" x14ac:dyDescent="0.35">
      <c r="A29" s="4" t="s">
        <v>23</v>
      </c>
      <c r="B29" s="5">
        <v>776.53846153845996</v>
      </c>
      <c r="C29" s="6">
        <v>1154.7368421052631</v>
      </c>
      <c r="D29" s="7">
        <v>1106.0666666666666</v>
      </c>
    </row>
    <row r="30" spans="1:10" ht="15" thickBot="1" x14ac:dyDescent="0.35">
      <c r="A30" s="4" t="s">
        <v>43</v>
      </c>
      <c r="B30" s="5">
        <v>644.0625</v>
      </c>
      <c r="C30" s="6">
        <v>1155.5555555555557</v>
      </c>
      <c r="D30" s="7">
        <v>1137.7777777777778</v>
      </c>
    </row>
    <row r="31" spans="1:10" ht="15" thickBot="1" x14ac:dyDescent="0.35">
      <c r="A31" s="4" t="s">
        <v>44</v>
      </c>
      <c r="B31" s="5">
        <v>641.53846153846155</v>
      </c>
      <c r="C31" s="6">
        <v>1171.875</v>
      </c>
      <c r="D31" s="7">
        <v>1137.0588235294117</v>
      </c>
    </row>
    <row r="32" spans="1:10" ht="15" thickBot="1" x14ac:dyDescent="0.35">
      <c r="A32" s="4" t="s">
        <v>45</v>
      </c>
      <c r="B32" s="5">
        <v>626.5625</v>
      </c>
      <c r="C32" s="6">
        <v>1166.3157894736842</v>
      </c>
      <c r="D32" s="7">
        <v>1088.75</v>
      </c>
    </row>
    <row r="33" spans="1:6" ht="15" thickBot="1" x14ac:dyDescent="0.35">
      <c r="A33" s="4" t="s">
        <v>13</v>
      </c>
      <c r="B33" s="5">
        <v>649.25</v>
      </c>
      <c r="C33" s="6">
        <v>1227.5</v>
      </c>
      <c r="D33" s="7">
        <v>1260</v>
      </c>
    </row>
    <row r="34" spans="1:6" ht="15" thickBot="1" x14ac:dyDescent="0.35">
      <c r="A34" s="4" t="s">
        <v>42</v>
      </c>
      <c r="B34" s="5">
        <v>676.66666666666663</v>
      </c>
      <c r="C34" s="6">
        <v>1257.7777777777778</v>
      </c>
      <c r="D34" s="7">
        <v>1164.90625</v>
      </c>
    </row>
    <row r="35" spans="1:6" ht="15" thickBot="1" x14ac:dyDescent="0.35">
      <c r="A35" s="4" t="s">
        <v>30</v>
      </c>
      <c r="B35" s="5">
        <v>678.57142857142856</v>
      </c>
      <c r="C35" s="6">
        <v>1162.8571428571429</v>
      </c>
      <c r="D35" s="7">
        <v>1113.3333333333333</v>
      </c>
    </row>
    <row r="36" spans="1:6" ht="15" thickBot="1" x14ac:dyDescent="0.35">
      <c r="A36" s="4" t="s">
        <v>19</v>
      </c>
      <c r="B36" s="5">
        <v>760</v>
      </c>
      <c r="C36" s="6">
        <v>1256.3613558682528</v>
      </c>
      <c r="D36" s="7">
        <v>1307.049871826172</v>
      </c>
    </row>
    <row r="37" spans="1:6" ht="15" thickBot="1" x14ac:dyDescent="0.35">
      <c r="A37" s="4" t="s">
        <v>21</v>
      </c>
      <c r="B37" s="5">
        <v>692.18181818181813</v>
      </c>
      <c r="C37" s="6">
        <v>1222.7272727272727</v>
      </c>
      <c r="D37" s="7">
        <v>1225</v>
      </c>
    </row>
    <row r="38" spans="1:6" ht="15" thickBot="1" x14ac:dyDescent="0.35">
      <c r="A38" s="4" t="s">
        <v>31</v>
      </c>
      <c r="B38" s="5">
        <v>688.46153846153845</v>
      </c>
      <c r="C38" s="6">
        <v>1192.3076923076924</v>
      </c>
      <c r="D38" s="7">
        <v>1160</v>
      </c>
    </row>
    <row r="39" spans="1:6" x14ac:dyDescent="0.3">
      <c r="A39" s="3" t="s">
        <v>50</v>
      </c>
      <c r="B39" s="14">
        <f>AVERAGE(B2:B38)</f>
        <v>671.85820506544189</v>
      </c>
      <c r="C39" s="14">
        <f t="shared" ref="C39:D39" si="0">AVERAGE(C2:C38)</f>
        <v>1214.1674524908103</v>
      </c>
      <c r="D39" s="14">
        <f t="shared" si="0"/>
        <v>1189.1212378095613</v>
      </c>
      <c r="F39" s="6"/>
    </row>
    <row r="40" spans="1:6" x14ac:dyDescent="0.3">
      <c r="A40" s="3" t="s">
        <v>51</v>
      </c>
      <c r="B40" s="15"/>
      <c r="C40" s="16"/>
      <c r="D40" s="16">
        <f>D39/B39*100-100</f>
        <v>76.989910794307519</v>
      </c>
      <c r="F40" s="6"/>
    </row>
    <row r="41" spans="1:6" x14ac:dyDescent="0.3">
      <c r="A41" s="3" t="s">
        <v>52</v>
      </c>
      <c r="B41" s="15"/>
      <c r="C41" s="16"/>
      <c r="D41" s="16">
        <f>D39/C39*100-100</f>
        <v>-2.0628303476483296</v>
      </c>
      <c r="F41" s="6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December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2025-01-16T02:40:42Z</dcterms:created>
  <dcterms:modified xsi:type="dcterms:W3CDTF">2025-01-16T12:37:12Z</dcterms:modified>
</cp:coreProperties>
</file>