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932876C7-9842-42C6-B331-8FA36ABF38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el November 2025" sheetId="1" r:id="rId1"/>
  </sheets>
  <externalReferences>
    <externalReference r:id="rId2"/>
  </externalReferences>
  <definedNames>
    <definedName name="_xlnm._FilterDatabase" localSheetId="0" hidden="1">'Fuel November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<sst xmlns="http://schemas.openxmlformats.org/spreadsheetml/2006/main" count="19" uniqueCount="19">
  <si>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</si>
  <si>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</si>
  <si>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</si>
  <si>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</si>
  <si>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</si>
  <si>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</si>
  <si>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</si>
  <si>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</si>
  <si>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</si>
  <si>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Borno</t>
  </si>
  <si>
    <t>Sokoto</t>
  </si>
  <si>
    <t>Kogi</t>
  </si>
  <si>
    <t>STATES WITH THE LOWEST AVERAGE PRICES</t>
  </si>
  <si>
    <t>Oyo</t>
  </si>
  <si>
    <t>Nasarawa</t>
  </si>
  <si>
    <t>Lagos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</si>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</sst>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center"/>
    </xf>
    <xf numFmtId="0" fontId="12" fillId="0" borderId="0">
      <alignment vertical="center"/>
    </xf>
  </cellStyleXfs>
  <cellXfs count="19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2" applyNumberFormat="1" applyFont="1" applyBorder="1" applyAlignment="1">
      <alignment horizontal="right"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9" fillId="0" borderId="0" xfId="6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6" applyNumberFormat="1" applyFont="1" applyBorder="1" applyAlignment="1">
      <alignment horizontal="right" wrapText="1"/>
    </xf>
  </cellXfs>
  <cellStyles count="9">
    <cellStyle name="Normal" xfId="0" builtinId="0"/>
    <cellStyle name="Normal 2" xfId="7" xr:uid="{00000000-0005-0000-0000-000001000000}"/>
    <cellStyle name="Normal 3" xfId="3" xr:uid="{00000000-0005-0000-0000-000002000000}"/>
    <cellStyle name="Normal 3 2" xfId="8" xr:uid="{00000000-0005-0000-0000-000003000000}"/>
    <cellStyle name="Normal_APRIL 2018 fuel 2" xfId="5" xr:uid="{00000000-0005-0000-0000-000004000000}"/>
    <cellStyle name="Normal_FUEL" xfId="4" xr:uid="{00000000-0005-0000-0000-000005000000}"/>
    <cellStyle name="Normal_Sheet1" xfId="2" xr:uid="{00000000-0005-0000-0000-000006000000}"/>
    <cellStyle name="Normal_Sheet3" xfId="1" xr:uid="{00000000-0005-0000-0000-000007000000}"/>
    <cellStyle name="Normal_Sheet4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alis/OneDrive/Documents/inforgraphic/FUEL%20Report/PMS_Fuel%20WATCH%20SERIES.xlsx" TargetMode="External"/><Relationship Id="rId1" Type="http://schemas.openxmlformats.org/officeDocument/2006/relationships/externalLinkPath" Target="/Users/calis/OneDrive/Documents/inforgraphic/FUEL%20Report/PMS_Fuel%20WATCH%20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UEL Series"/>
      <sheetName val="Fuel November 2025"/>
      <sheetName val="Calculations"/>
      <sheetName val="Output"/>
    </sheetNames>
    <sheetDataSet>
      <sheetData sheetId="0" refreshError="1"/>
      <sheetData sheetId="1"/>
      <sheetData sheetId="2">
        <row r="1">
          <cell r="A1" t="str">
            <v xml:space="preserve">State </v>
          </cell>
        </row>
        <row r="2">
          <cell r="A2" t="str">
            <v>Abia</v>
          </cell>
        </row>
        <row r="3">
          <cell r="A3" t="str">
            <v>Abuja</v>
          </cell>
        </row>
        <row r="4">
          <cell r="A4" t="str">
            <v>Adamawa</v>
          </cell>
        </row>
        <row r="5">
          <cell r="A5" t="str">
            <v>Akwa Ibom</v>
          </cell>
        </row>
        <row r="6">
          <cell r="A6" t="str">
            <v>Anambra</v>
          </cell>
        </row>
        <row r="7">
          <cell r="A7" t="str">
            <v>Bauchi</v>
          </cell>
        </row>
        <row r="8">
          <cell r="A8" t="str">
            <v>Bayelsa</v>
          </cell>
        </row>
        <row r="9">
          <cell r="A9" t="str">
            <v>Benue</v>
          </cell>
        </row>
        <row r="10">
          <cell r="A10" t="str">
            <v>Borno</v>
          </cell>
        </row>
        <row r="11">
          <cell r="A11" t="str">
            <v>Cross River</v>
          </cell>
        </row>
        <row r="12">
          <cell r="A12" t="str">
            <v>Delta</v>
          </cell>
        </row>
        <row r="13">
          <cell r="A13" t="str">
            <v>Ebonyi</v>
          </cell>
        </row>
        <row r="14">
          <cell r="A14" t="str">
            <v>Edo</v>
          </cell>
        </row>
        <row r="15">
          <cell r="A15" t="str">
            <v>Ekiti</v>
          </cell>
        </row>
        <row r="16">
          <cell r="A16" t="str">
            <v>Enugu</v>
          </cell>
        </row>
        <row r="17">
          <cell r="A17" t="str">
            <v>Gombe</v>
          </cell>
        </row>
        <row r="18">
          <cell r="A18" t="str">
            <v>Imo</v>
          </cell>
        </row>
        <row r="19">
          <cell r="A19" t="str">
            <v>Jigawa</v>
          </cell>
        </row>
        <row r="20">
          <cell r="A20" t="str">
            <v>Kaduna</v>
          </cell>
        </row>
        <row r="21">
          <cell r="A21" t="str">
            <v>Kano</v>
          </cell>
        </row>
        <row r="22">
          <cell r="A22" t="str">
            <v>Katsina</v>
          </cell>
        </row>
        <row r="23">
          <cell r="A23" t="str">
            <v>Kebbi</v>
          </cell>
        </row>
        <row r="24">
          <cell r="A24" t="str">
            <v>Kogi</v>
          </cell>
        </row>
        <row r="25">
          <cell r="A25" t="str">
            <v>Kwara</v>
          </cell>
        </row>
        <row r="26">
          <cell r="A26" t="str">
            <v>Lagos</v>
          </cell>
        </row>
        <row r="27">
          <cell r="A27" t="str">
            <v>Nasarawa</v>
          </cell>
        </row>
        <row r="28">
          <cell r="A28" t="str">
            <v>Niger</v>
          </cell>
        </row>
        <row r="29">
          <cell r="A29" t="str">
            <v>Ogun</v>
          </cell>
        </row>
        <row r="30">
          <cell r="A30" t="str">
            <v>Ondo</v>
          </cell>
        </row>
        <row r="31">
          <cell r="A31" t="str">
            <v>Osun</v>
          </cell>
        </row>
        <row r="32">
          <cell r="A32" t="str">
            <v>Oyo</v>
          </cell>
        </row>
        <row r="33">
          <cell r="A33" t="str">
            <v>Plateau</v>
          </cell>
        </row>
        <row r="34">
          <cell r="A34" t="str">
            <v>Rivers</v>
          </cell>
        </row>
        <row r="35">
          <cell r="A35" t="str">
            <v>Sokoto</v>
          </cell>
        </row>
        <row r="36">
          <cell r="A36" t="str">
            <v>Taraba</v>
          </cell>
        </row>
        <row r="37">
          <cell r="A37" t="str">
            <v>Yobe</v>
          </cell>
        </row>
        <row r="38">
          <cell r="A38" t="str">
            <v>Zamfara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sqref="A1:XFD14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tr">
        <f>[1]Calculations!A1</f>
        <v xml:space="preserve">State </v>
      </c>
      <c r="B1" s="2">
        <v>45597</v>
      </c>
      <c r="C1" s="2">
        <v>45931</v>
      </c>
      <c r="D1" s="2">
        <v>45962</v>
      </c>
      <c r="F1" s="3" t="s">
        <v>0</v>
      </c>
      <c r="G1" s="3" t="s">
        <v>1</v>
      </c>
    </row>
    <row r="2" spans="1:10" ht="15.75" thickBot="1" x14ac:dyDescent="0.3">
      <c r="A2" s="4" t="str">
        <f>[1]Calculations!A2</f>
        <v>Abia</v>
      </c>
      <c r="B2" s="5">
        <v>1260.65625</v>
      </c>
      <c r="C2" s="5">
        <v>1012.5</v>
      </c>
      <c r="D2" s="5">
        <v>1040.4225000000001</v>
      </c>
      <c r="F2" s="6" t="s">
        <v>2</v>
      </c>
      <c r="G2" s="7">
        <v>1059.1077497142855</v>
      </c>
      <c r="I2" s="7"/>
      <c r="J2" s="7"/>
    </row>
    <row r="3" spans="1:10" ht="15.75" thickBot="1" x14ac:dyDescent="0.3">
      <c r="A3" s="4" t="str">
        <f>[1]Calculations!A3</f>
        <v>Abuja</v>
      </c>
      <c r="B3" s="5">
        <v>1230.5639892578124</v>
      </c>
      <c r="C3" s="5">
        <v>1039.1666666666667</v>
      </c>
      <c r="D3" s="5">
        <v>1065.7433333333333</v>
      </c>
      <c r="F3" s="6" t="s">
        <v>3</v>
      </c>
      <c r="G3" s="7">
        <v>1064.7348385654764</v>
      </c>
      <c r="I3" s="7"/>
    </row>
    <row r="4" spans="1:10" ht="15.75" thickBot="1" x14ac:dyDescent="0.3">
      <c r="A4" s="4" t="str">
        <f>[1]Calculations!A4</f>
        <v>Adamawa</v>
      </c>
      <c r="B4" s="5">
        <v>1319.8472290039063</v>
      </c>
      <c r="C4" s="5">
        <v>1053.01</v>
      </c>
      <c r="D4" s="5">
        <v>1055.7183333333335</v>
      </c>
      <c r="F4" s="6" t="s">
        <v>4</v>
      </c>
      <c r="G4" s="7">
        <v>1084.041337740741</v>
      </c>
    </row>
    <row r="5" spans="1:10" ht="15.75" thickBot="1" x14ac:dyDescent="0.3">
      <c r="A5" s="4" t="str">
        <f>[1]Calculations!A5</f>
        <v>Akwa Ibom</v>
      </c>
      <c r="B5" s="5">
        <v>1203.9285714285713</v>
      </c>
      <c r="C5" s="5">
        <v>1064.325</v>
      </c>
      <c r="D5" s="5">
        <v>1064.325</v>
      </c>
      <c r="F5" s="6" t="s">
        <v>5</v>
      </c>
      <c r="G5" s="7">
        <v>1054.6256160606063</v>
      </c>
      <c r="J5" s="7"/>
    </row>
    <row r="6" spans="1:10" ht="15.75" thickBot="1" x14ac:dyDescent="0.3">
      <c r="A6" s="4" t="str">
        <f>[1]Calculations!A6</f>
        <v>Anambra</v>
      </c>
      <c r="B6" s="5">
        <v>1270.75</v>
      </c>
      <c r="C6" s="5">
        <v>1068.2381249999999</v>
      </c>
      <c r="D6" s="5">
        <v>1068.2381249999999</v>
      </c>
      <c r="F6" s="6" t="s">
        <v>6</v>
      </c>
      <c r="G6" s="7">
        <v>1036.1162248511905</v>
      </c>
    </row>
    <row r="7" spans="1:10" ht="15.75" thickBot="1" x14ac:dyDescent="0.3">
      <c r="A7" s="4" t="str">
        <f>[1]Calculations!A7</f>
        <v>Bauchi</v>
      </c>
      <c r="B7" s="5">
        <v>1181.6923076923076</v>
      </c>
      <c r="C7" s="5">
        <v>1078.3444444444444</v>
      </c>
      <c r="D7" s="5">
        <v>1082.6033333333332</v>
      </c>
      <c r="F7" s="6" t="s">
        <v>7</v>
      </c>
      <c r="G7" s="7">
        <v>1067.5098478625544</v>
      </c>
    </row>
    <row r="8" spans="1:10" ht="15.75" thickBot="1" x14ac:dyDescent="0.3">
      <c r="A8" s="4" t="str">
        <f>[1]Calculations!A8</f>
        <v>Bayelsa</v>
      </c>
      <c r="B8" s="5">
        <v>1209.1666666666667</v>
      </c>
      <c r="C8" s="5">
        <v>1073.9124999999999</v>
      </c>
      <c r="D8" s="5">
        <v>1073.9124999999999</v>
      </c>
    </row>
    <row r="9" spans="1:10" ht="15.75" thickBot="1" x14ac:dyDescent="0.3">
      <c r="A9" s="4" t="str">
        <f>[1]Calculations!A9</f>
        <v>Benue</v>
      </c>
      <c r="B9" s="5">
        <v>1365.1628766741071</v>
      </c>
      <c r="C9" s="5">
        <v>1071.3788499999998</v>
      </c>
      <c r="D9" s="5">
        <v>1080.9188500000002</v>
      </c>
    </row>
    <row r="10" spans="1:10" ht="15.75" thickBot="1" x14ac:dyDescent="0.3">
      <c r="A10" s="4" t="str">
        <f>[1]Calculations!A10</f>
        <v>Borno</v>
      </c>
      <c r="B10" s="5">
        <v>1331.9444444444443</v>
      </c>
      <c r="C10" s="5">
        <v>1101.625</v>
      </c>
      <c r="D10" s="5">
        <v>1133.8612499999999</v>
      </c>
    </row>
    <row r="11" spans="1:10" ht="15.75" thickBot="1" x14ac:dyDescent="0.3">
      <c r="A11" s="4" t="str">
        <f>[1]Calculations!A11</f>
        <v>Cross River</v>
      </c>
      <c r="B11" s="5">
        <v>1218.5416666666667</v>
      </c>
      <c r="C11" s="5">
        <v>1031.25</v>
      </c>
      <c r="D11" s="5">
        <v>1047.43625</v>
      </c>
      <c r="F11" s="8" t="s">
        <v>8</v>
      </c>
      <c r="G11" s="9"/>
    </row>
    <row r="12" spans="1:10" ht="15.75" thickBot="1" x14ac:dyDescent="0.3">
      <c r="A12" s="4" t="str">
        <f>[1]Calculations!A12</f>
        <v>Delta</v>
      </c>
      <c r="B12" s="5">
        <v>1170.3571428571429</v>
      </c>
      <c r="C12" s="5">
        <v>1025.9914136363636</v>
      </c>
      <c r="D12" s="5">
        <v>1035.4186863636367</v>
      </c>
      <c r="F12" s="10" t="s">
        <v>9</v>
      </c>
      <c r="G12" s="11">
        <v>1133.8612499999999</v>
      </c>
      <c r="J12" s="12"/>
    </row>
    <row r="13" spans="1:10" ht="15.75" thickBot="1" x14ac:dyDescent="0.3">
      <c r="A13" s="4" t="str">
        <f>[1]Calculations!A13</f>
        <v>Ebonyi</v>
      </c>
      <c r="B13" s="5">
        <v>1287.5714285714287</v>
      </c>
      <c r="C13" s="5">
        <v>1036.9892857142856</v>
      </c>
      <c r="D13" s="5">
        <v>1062.0761428571429</v>
      </c>
      <c r="F13" s="10" t="s">
        <v>10</v>
      </c>
      <c r="G13" s="11">
        <v>1118.8276499999999</v>
      </c>
      <c r="J13" s="12"/>
    </row>
    <row r="14" spans="1:10" ht="15.75" customHeight="1" thickBot="1" x14ac:dyDescent="0.3">
      <c r="A14" s="4" t="str">
        <f>[1]Calculations!A14</f>
        <v>Edo</v>
      </c>
      <c r="B14" s="5">
        <v>1187.6071428571429</v>
      </c>
      <c r="C14" s="5">
        <v>1030.0466249999999</v>
      </c>
      <c r="D14" s="5">
        <v>1041.2331349999999</v>
      </c>
      <c r="F14" s="10" t="s">
        <v>11</v>
      </c>
      <c r="G14" s="11">
        <v>1110</v>
      </c>
      <c r="J14" s="12"/>
    </row>
    <row r="15" spans="1:10" ht="15.75" thickBot="1" x14ac:dyDescent="0.3">
      <c r="A15" s="4" t="str">
        <f>[1]Calculations!A15</f>
        <v>Ekiti</v>
      </c>
      <c r="B15" s="5">
        <v>1182.3809523809523</v>
      </c>
      <c r="C15" s="5">
        <v>1058.4937457142858</v>
      </c>
      <c r="D15" s="5">
        <v>1056.3186522857143</v>
      </c>
      <c r="F15" s="9"/>
      <c r="G15" s="9"/>
      <c r="J15" s="13"/>
    </row>
    <row r="16" spans="1:10" ht="15.75" customHeight="1" thickBot="1" x14ac:dyDescent="0.3">
      <c r="A16" s="4" t="str">
        <f>[1]Calculations!A16</f>
        <v>Enugu</v>
      </c>
      <c r="B16" s="5">
        <v>1245.5555555555557</v>
      </c>
      <c r="C16" s="5">
        <v>1030.9216666666666</v>
      </c>
      <c r="D16" s="5">
        <v>1037.6753000000001</v>
      </c>
      <c r="F16" s="8" t="s">
        <v>12</v>
      </c>
      <c r="G16" s="9"/>
      <c r="J16" s="13"/>
    </row>
    <row r="17" spans="1:10" ht="15.75" thickBot="1" x14ac:dyDescent="0.3">
      <c r="A17" s="4" t="str">
        <f>[1]Calculations!A17</f>
        <v>Gombe</v>
      </c>
      <c r="B17" s="5">
        <v>1232.8</v>
      </c>
      <c r="C17" s="5">
        <v>1055.7235055555554</v>
      </c>
      <c r="D17" s="5">
        <v>1067.5148097777778</v>
      </c>
      <c r="F17" s="10" t="s">
        <v>13</v>
      </c>
      <c r="G17" s="11">
        <v>997.38656000000015</v>
      </c>
      <c r="J17" s="13"/>
    </row>
    <row r="18" spans="1:10" ht="13.5" customHeight="1" thickBot="1" x14ac:dyDescent="0.3">
      <c r="A18" s="4" t="str">
        <f>[1]Calculations!A18</f>
        <v>Imo</v>
      </c>
      <c r="B18" s="5">
        <v>1224.0760869565217</v>
      </c>
      <c r="C18" s="5">
        <v>1087.1266807142858</v>
      </c>
      <c r="D18" s="5">
        <v>1087.1266807142858</v>
      </c>
      <c r="F18" s="10" t="s">
        <v>14</v>
      </c>
      <c r="G18" s="11">
        <v>1015.12062</v>
      </c>
    </row>
    <row r="19" spans="1:10" ht="15.75" thickBot="1" x14ac:dyDescent="0.3">
      <c r="A19" s="4" t="str">
        <f>[1]Calculations!A19</f>
        <v>Jigawa</v>
      </c>
      <c r="B19" s="5">
        <v>1308.5714285714287</v>
      </c>
      <c r="C19" s="5">
        <v>1059.0913636363637</v>
      </c>
      <c r="D19" s="5">
        <v>1070.5763454545454</v>
      </c>
      <c r="F19" s="10" t="s">
        <v>15</v>
      </c>
      <c r="G19" s="11">
        <v>1021.144</v>
      </c>
    </row>
    <row r="20" spans="1:10" ht="15.75" thickBot="1" x14ac:dyDescent="0.3">
      <c r="A20" s="4" t="str">
        <f>[1]Calculations!A20</f>
        <v>Kaduna</v>
      </c>
      <c r="B20" s="5">
        <v>1193.75</v>
      </c>
      <c r="C20" s="5">
        <v>1023.3333333333334</v>
      </c>
      <c r="D20" s="5">
        <v>1050.9633333333334</v>
      </c>
    </row>
    <row r="21" spans="1:10" ht="15.75" thickBot="1" x14ac:dyDescent="0.3">
      <c r="A21" s="4" t="str">
        <f>[1]Calculations!A21</f>
        <v>Kano</v>
      </c>
      <c r="B21" s="5">
        <v>1152.8571428571429</v>
      </c>
      <c r="C21" s="5">
        <v>1060.5646666666667</v>
      </c>
      <c r="D21" s="5">
        <v>1061.32952</v>
      </c>
    </row>
    <row r="22" spans="1:10" ht="15.75" thickBot="1" x14ac:dyDescent="0.3">
      <c r="A22" s="4" t="str">
        <f>[1]Calculations!A22</f>
        <v>Katsina</v>
      </c>
      <c r="B22" s="5">
        <v>1121.25</v>
      </c>
      <c r="C22" s="5">
        <v>1053.6455166666667</v>
      </c>
      <c r="D22" s="5">
        <v>1060.1121833333334</v>
      </c>
    </row>
    <row r="23" spans="1:10" ht="15.75" thickBot="1" x14ac:dyDescent="0.3">
      <c r="A23" s="4" t="str">
        <f>[1]Calculations!A23</f>
        <v>Kebbi</v>
      </c>
      <c r="B23" s="5">
        <v>1186.25</v>
      </c>
      <c r="C23" s="5">
        <v>1031.6400000000001</v>
      </c>
      <c r="D23" s="5">
        <v>1043.758</v>
      </c>
    </row>
    <row r="24" spans="1:10" ht="15.75" thickBot="1" x14ac:dyDescent="0.3">
      <c r="A24" s="4" t="str">
        <f>[1]Calculations!A24</f>
        <v>Kogi</v>
      </c>
      <c r="B24" s="5">
        <v>1249.9791666666667</v>
      </c>
      <c r="C24" s="5">
        <v>1110</v>
      </c>
      <c r="D24" s="5">
        <v>1110</v>
      </c>
    </row>
    <row r="25" spans="1:10" ht="15.75" thickBot="1" x14ac:dyDescent="0.3">
      <c r="A25" s="4" t="str">
        <f>[1]Calculations!A25</f>
        <v>Kwara</v>
      </c>
      <c r="B25" s="5">
        <v>1173.0615234375</v>
      </c>
      <c r="C25" s="5">
        <v>1051.1299999999999</v>
      </c>
      <c r="D25" s="5">
        <v>1062.675</v>
      </c>
    </row>
    <row r="26" spans="1:10" ht="15.75" thickBot="1" x14ac:dyDescent="0.3">
      <c r="A26" s="4" t="str">
        <f>[1]Calculations!A26</f>
        <v>Lagos</v>
      </c>
      <c r="B26" s="5">
        <v>1092.7894736842106</v>
      </c>
      <c r="C26" s="5">
        <v>1014</v>
      </c>
      <c r="D26" s="5">
        <v>1021.144</v>
      </c>
    </row>
    <row r="27" spans="1:10" ht="15.75" thickBot="1" x14ac:dyDescent="0.3">
      <c r="A27" s="4" t="str">
        <f>[1]Calculations!A27</f>
        <v>Nasarawa</v>
      </c>
      <c r="B27" s="5">
        <v>1181.8863636363637</v>
      </c>
      <c r="C27" s="5">
        <v>1009.3770000000001</v>
      </c>
      <c r="D27" s="5">
        <v>1015.12062</v>
      </c>
    </row>
    <row r="28" spans="1:10" ht="15.75" thickBot="1" x14ac:dyDescent="0.3">
      <c r="A28" s="4" t="str">
        <f>[1]Calculations!A28</f>
        <v>Niger</v>
      </c>
      <c r="B28" s="5">
        <v>1173.1839036207932</v>
      </c>
      <c r="C28" s="5">
        <v>1061.1278166249999</v>
      </c>
      <c r="D28" s="5">
        <v>1062.5540666250001</v>
      </c>
    </row>
    <row r="29" spans="1:10" ht="15.75" thickBot="1" x14ac:dyDescent="0.3">
      <c r="A29" s="4" t="str">
        <f>[1]Calculations!A29</f>
        <v>Ogun</v>
      </c>
      <c r="B29" s="5">
        <v>1154.7368421052631</v>
      </c>
      <c r="C29" s="5">
        <v>1064.9875</v>
      </c>
      <c r="D29" s="5">
        <v>1064.9875</v>
      </c>
    </row>
    <row r="30" spans="1:10" ht="15.75" thickBot="1" x14ac:dyDescent="0.3">
      <c r="A30" s="4" t="str">
        <f>[1]Calculations!A30</f>
        <v>Ondo</v>
      </c>
      <c r="B30" s="5">
        <v>1155.5555555555557</v>
      </c>
      <c r="C30" s="5">
        <v>1017.8285714285713</v>
      </c>
      <c r="D30" s="5">
        <v>1025.0414285714285</v>
      </c>
    </row>
    <row r="31" spans="1:10" ht="15.75" thickBot="1" x14ac:dyDescent="0.3">
      <c r="A31" s="4" t="str">
        <f>[1]Calculations!A31</f>
        <v>Osun</v>
      </c>
      <c r="B31" s="5">
        <v>1171.875</v>
      </c>
      <c r="C31" s="5">
        <v>1039.76979375</v>
      </c>
      <c r="D31" s="5">
        <v>1051.81920825</v>
      </c>
    </row>
    <row r="32" spans="1:10" ht="15.75" thickBot="1" x14ac:dyDescent="0.3">
      <c r="A32" s="4" t="str">
        <f>[1]Calculations!A32</f>
        <v>Oyo</v>
      </c>
      <c r="B32" s="5">
        <v>1166.3157894736842</v>
      </c>
      <c r="C32" s="5">
        <v>1001.7860000000001</v>
      </c>
      <c r="D32" s="5">
        <v>997.38656000000015</v>
      </c>
    </row>
    <row r="33" spans="1:6" ht="15.75" thickBot="1" x14ac:dyDescent="0.3">
      <c r="A33" s="4" t="str">
        <f>[1]Calculations!A33</f>
        <v>Plateau</v>
      </c>
      <c r="B33" s="5">
        <v>1227.5</v>
      </c>
      <c r="C33" s="5">
        <v>1056.1320000000001</v>
      </c>
      <c r="D33" s="5">
        <v>1056.1320000000001</v>
      </c>
    </row>
    <row r="34" spans="1:6" ht="15.75" thickBot="1" x14ac:dyDescent="0.3">
      <c r="A34" s="4" t="str">
        <f>[1]Calculations!A34</f>
        <v>Rivers</v>
      </c>
      <c r="B34" s="5">
        <v>1257.7777777777778</v>
      </c>
      <c r="C34" s="5">
        <v>1053.7181249999999</v>
      </c>
      <c r="D34" s="5">
        <v>1065.4281249999999</v>
      </c>
    </row>
    <row r="35" spans="1:6" ht="15.75" thickBot="1" x14ac:dyDescent="0.3">
      <c r="A35" s="4" t="str">
        <f>[1]Calculations!A35</f>
        <v>Sokoto</v>
      </c>
      <c r="B35" s="5">
        <v>1162.8571428571429</v>
      </c>
      <c r="C35" s="5">
        <v>1105.9331500000001</v>
      </c>
      <c r="D35" s="5">
        <v>1118.8276499999999</v>
      </c>
    </row>
    <row r="36" spans="1:6" ht="15.75" thickBot="1" x14ac:dyDescent="0.3">
      <c r="A36" s="4" t="str">
        <f>[1]Calculations!A36</f>
        <v>Taraba</v>
      </c>
      <c r="B36" s="5">
        <v>1256.3613558682528</v>
      </c>
      <c r="C36" s="5">
        <v>1072.152</v>
      </c>
      <c r="D36" s="5">
        <v>1079.1799999999998</v>
      </c>
    </row>
    <row r="37" spans="1:6" ht="15.75" thickBot="1" x14ac:dyDescent="0.3">
      <c r="A37" s="4" t="str">
        <f>[1]Calculations!A37</f>
        <v>Yobe</v>
      </c>
      <c r="B37" s="5">
        <v>1222.7272727272727</v>
      </c>
      <c r="C37" s="5">
        <v>1075.5883333333334</v>
      </c>
      <c r="D37" s="5">
        <v>1085.3703</v>
      </c>
    </row>
    <row r="38" spans="1:6" ht="15.75" thickBot="1" x14ac:dyDescent="0.3">
      <c r="A38" s="4" t="str">
        <f>[1]Calculations!A38</f>
        <v>Zamfara</v>
      </c>
      <c r="B38" s="5">
        <v>1192.3076923076924</v>
      </c>
      <c r="C38" s="5">
        <v>1054.6785695833332</v>
      </c>
      <c r="D38" s="5">
        <v>1067.0019029166665</v>
      </c>
      <c r="F38" s="7"/>
    </row>
    <row r="39" spans="1:6" x14ac:dyDescent="0.25">
      <c r="A39" s="3" t="s">
        <v>16</v>
      </c>
      <c r="B39" s="14">
        <v>1214.1674524908103</v>
      </c>
      <c r="C39" s="14">
        <v>1052.311547273941</v>
      </c>
      <c r="D39" s="14">
        <v>1061.3500169049423</v>
      </c>
      <c r="F39" s="15"/>
    </row>
    <row r="40" spans="1:6" x14ac:dyDescent="0.25">
      <c r="A40" s="3" t="s">
        <v>17</v>
      </c>
      <c r="B40" s="16"/>
      <c r="C40" s="17"/>
      <c r="D40" s="17">
        <v>-12.58619107869923</v>
      </c>
      <c r="F40" s="18"/>
    </row>
    <row r="41" spans="1:6" x14ac:dyDescent="0.25">
      <c r="A41" s="3" t="s">
        <v>18</v>
      </c>
      <c r="B41" s="16"/>
      <c r="C41" s="17"/>
      <c r="D41" s="17">
        <v>0.85891575117804564</v>
      </c>
      <c r="F41" s="18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November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2025-12-17T09:53:36Z</dcterms:created>
  <dcterms:modified xsi:type="dcterms:W3CDTF">2026-09-15T22:16:50Z</dcterms:modified>
</cp:coreProperties>
</file>